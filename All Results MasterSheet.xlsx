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age" sheetId="1" r:id="rId5"/>
    <sheet state="visible" name="OVERALL RESULT" sheetId="2" r:id="rId6"/>
    <sheet state="visible" name="Zeroshot" sheetId="3" r:id="rId7"/>
    <sheet state="visible" name="Fewshot" sheetId="4" r:id="rId8"/>
    <sheet state="visible" name="CoT" sheetId="5" r:id="rId9"/>
    <sheet state="visible" name="LtM" sheetId="6" r:id="rId10"/>
    <sheet state="visible" name="PoT" sheetId="7" r:id="rId11"/>
    <sheet state="visible" name="SC_CoT" sheetId="8" r:id="rId12"/>
    <sheet state="visible" name="ReAct" sheetId="9" r:id="rId13"/>
  </sheets>
  <definedNames/>
  <calcPr/>
</workbook>
</file>

<file path=xl/sharedStrings.xml><?xml version="1.0" encoding="utf-8"?>
<sst xmlns="http://schemas.openxmlformats.org/spreadsheetml/2006/main" count="404" uniqueCount="33">
  <si>
    <t>Model</t>
  </si>
  <si>
    <t>Zeroshot</t>
  </si>
  <si>
    <t>Fewshot</t>
  </si>
  <si>
    <t>CoT</t>
  </si>
  <si>
    <t>LtM</t>
  </si>
  <si>
    <t>PoT</t>
  </si>
  <si>
    <t>ReAct</t>
  </si>
  <si>
    <t>SC_CoT</t>
  </si>
  <si>
    <t>deepseek-coder-7b-instruct-v1.5</t>
  </si>
  <si>
    <t>Meta-Llama-3-8B-Instruct</t>
  </si>
  <si>
    <t>Mistral-7B-Instruct-v0.3</t>
  </si>
  <si>
    <t>sum_total_tokens</t>
  </si>
  <si>
    <t>duration</t>
  </si>
  <si>
    <t>emissions</t>
  </si>
  <si>
    <t>cpu_energy</t>
  </si>
  <si>
    <t>gpu_energy</t>
  </si>
  <si>
    <t>ram_energy</t>
  </si>
  <si>
    <t>coverage</t>
  </si>
  <si>
    <t>Total_Energy_kWh</t>
  </si>
  <si>
    <t>Duration_hr</t>
  </si>
  <si>
    <t>Tokens_per_hr</t>
  </si>
  <si>
    <t>Sec_per_1K_Tokens</t>
  </si>
  <si>
    <t>CO2_per_1K_Tokens</t>
  </si>
  <si>
    <t>Energy_per_1K_Tokens</t>
  </si>
  <si>
    <t>Q_per_1K_Tokens</t>
  </si>
  <si>
    <t>Q_per_kWh</t>
  </si>
  <si>
    <t>Q_per_CO2</t>
  </si>
  <si>
    <t>α = 0.5 (Eco-first)</t>
  </si>
  <si>
    <t>α = 1.0 (balanced)</t>
  </si>
  <si>
    <t>α = 2.0 (quality-first)</t>
  </si>
  <si>
    <t xml:space="preserve"> Execution time (hours) vs Prompt Strategy per Model </t>
  </si>
  <si>
    <t xml:space="preserve"> Total Energy Consumption</t>
  </si>
  <si>
    <t>Deepseekdeepseek-coder-7b-instruct-v1.5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</si>
</sst>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FFFFFF"/>
      <name val="Arial"/>
      <scheme val="minor"/>
    </font>
    <font>
      <color rgb="FF000000"/>
      <name val="Arial"/>
      <scheme val="minor"/>
    </font>
    <font>
      <b/>
      <color theme="1"/>
      <name val="Arial"/>
    </font>
    <font>
      <sz val="10.0"/>
      <color theme="1"/>
      <name val="Arial"/>
      <scheme val="minor"/>
    </font>
    <font>
      <color theme="1"/>
      <name val="Arial"/>
    </font>
    <font>
      <b/>
      <sz val="11.0"/>
      <color rgb="FFCC0000"/>
      <name val="Arial"/>
      <scheme val="minor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center" readingOrder="0"/>
    </xf>
    <xf borderId="0" fillId="3" fontId="2" numFmtId="2" xfId="0" applyFill="1" applyFont="1" applyNumberFormat="1"/>
    <xf borderId="0" fillId="3" fontId="2" numFmtId="164" xfId="0" applyFont="1" applyNumberFormat="1"/>
    <xf borderId="0" fillId="3" fontId="2" numFmtId="165" xfId="0" applyFont="1" applyNumberFormat="1"/>
    <xf borderId="0" fillId="3" fontId="4" numFmtId="2" xfId="0" applyFont="1" applyNumberFormat="1"/>
    <xf borderId="0" fillId="3" fontId="4" numFmtId="164" xfId="0" applyFont="1" applyNumberFormat="1"/>
    <xf borderId="0" fillId="3" fontId="4" numFmtId="165" xfId="0" applyFont="1" applyNumberForma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6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6" numFmtId="2" xfId="0" applyAlignment="1" applyFont="1" applyNumberFormat="1">
      <alignment readingOrder="0" shrinkToFit="0" wrapText="1"/>
    </xf>
    <xf borderId="0" fillId="0" fontId="6" numFmtId="2" xfId="0" applyAlignment="1" applyFont="1" applyNumberFormat="1">
      <alignment readingOrder="0" shrinkToFit="0" wrapText="1"/>
    </xf>
    <xf borderId="0" fillId="0" fontId="6" numFmtId="164" xfId="0" applyAlignment="1" applyFont="1" applyNumberFormat="1">
      <alignment readingOrder="0" shrinkToFit="0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0" numFmtId="2" xfId="0" applyAlignment="1" applyFont="1" applyNumberFormat="1">
      <alignment readingOrder="0"/>
    </xf>
    <xf borderId="0" fillId="0" fontId="0" numFmtId="164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0" fontId="9" numFmtId="2" xfId="0" applyFont="1" applyNumberFormat="1"/>
    <xf borderId="0" fillId="0" fontId="2" numFmtId="2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0" xfId="0" applyFont="1"/>
    <xf borderId="0" fillId="4" fontId="2" numFmtId="0" xfId="0" applyFill="1" applyFont="1"/>
    <xf borderId="0" fillId="4" fontId="2" numFmtId="2" xfId="0" applyFont="1" applyNumberFormat="1"/>
    <xf borderId="0" fillId="4" fontId="2" numFmtId="164" xfId="0" applyFont="1" applyNumberFormat="1"/>
    <xf borderId="0" fillId="4" fontId="2" numFmtId="165" xfId="0" applyFont="1" applyNumberFormat="1"/>
    <xf borderId="0" fillId="0" fontId="6" numFmtId="2" xfId="0" applyAlignment="1" applyFont="1" applyNumberFormat="1">
      <alignment horizontal="center" readingOrder="0" shrinkToFit="0" wrapText="1"/>
    </xf>
    <xf borderId="0" fillId="0" fontId="7" numFmtId="2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5" fontId="3" numFmtId="0" xfId="0" applyAlignment="1" applyFill="1" applyFont="1">
      <alignment horizontal="center" readingOrder="0"/>
    </xf>
    <xf borderId="0" fillId="0" fontId="7" numFmtId="0" xfId="0" applyAlignment="1" applyFont="1">
      <alignment horizontal="right" vertical="bottom"/>
    </xf>
    <xf borderId="0" fillId="0" fontId="10" numFmtId="0" xfId="0" applyAlignment="1" applyFont="1">
      <alignment readingOrder="0"/>
    </xf>
    <xf borderId="0" fillId="0" fontId="7" numFmtId="11" xfId="0" applyAlignment="1" applyFont="1" applyNumberFormat="1">
      <alignment horizontal="right" vertical="bottom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Coverage!$A$2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Coverage!$B$1:$H$1</c:f>
            </c:strRef>
          </c:cat>
          <c:val>
            <c:numRef>
              <c:f>Coverage!$B$2:$H$2</c:f>
              <c:numCache/>
            </c:numRef>
          </c:val>
        </c:ser>
        <c:ser>
          <c:idx val="1"/>
          <c:order val="1"/>
          <c:tx>
            <c:strRef>
              <c:f>Coverage!$A$3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Coverage!$B$1:$H$1</c:f>
            </c:strRef>
          </c:cat>
          <c:val>
            <c:numRef>
              <c:f>Coverage!$B$3:$H$3</c:f>
              <c:numCache/>
            </c:numRef>
          </c:val>
        </c:ser>
        <c:ser>
          <c:idx val="2"/>
          <c:order val="2"/>
          <c:tx>
            <c:strRef>
              <c:f>Coverage!$A$4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Coverage!$B$1:$H$1</c:f>
            </c:strRef>
          </c:cat>
          <c:val>
            <c:numRef>
              <c:f>Coverage!$B$4:$H$4</c:f>
              <c:numCache/>
            </c:numRef>
          </c:val>
        </c:ser>
        <c:axId val="20470421"/>
        <c:axId val="1249493026"/>
      </c:barChart>
      <c:catAx>
        <c:axId val="204704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249493026"/>
      </c:catAx>
      <c:valAx>
        <c:axId val="12494930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Test Coverage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47042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RESULT'!$B$11:$B$12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RESULT'!$A$13:$A$19</c:f>
            </c:strRef>
          </c:cat>
          <c:val>
            <c:numRef>
              <c:f>'OVERALL RESULT'!$B$13:$B$19</c:f>
              <c:numCache/>
            </c:numRef>
          </c:val>
        </c:ser>
        <c:ser>
          <c:idx val="1"/>
          <c:order val="1"/>
          <c:tx>
            <c:strRef>
              <c:f>'OVERALL RESULT'!$C$11:$C$12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RESULT'!$A$13:$A$19</c:f>
            </c:strRef>
          </c:cat>
          <c:val>
            <c:numRef>
              <c:f>'OVERALL RESULT'!$C$13:$C$19</c:f>
              <c:numCache/>
            </c:numRef>
          </c:val>
        </c:ser>
        <c:ser>
          <c:idx val="2"/>
          <c:order val="2"/>
          <c:tx>
            <c:strRef>
              <c:f>'OVERALL RESULT'!$D$11:$D$12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RESULT'!$A$13:$A$19</c:f>
            </c:strRef>
          </c:cat>
          <c:val>
            <c:numRef>
              <c:f>'OVERALL RESULT'!$D$13:$D$19</c:f>
              <c:numCache/>
            </c:numRef>
          </c:val>
        </c:ser>
        <c:axId val="1580703909"/>
        <c:axId val="1419793945"/>
      </c:barChart>
      <c:catAx>
        <c:axId val="15807039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19793945"/>
      </c:catAx>
      <c:valAx>
        <c:axId val="14197939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time (hours)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580703909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RESULT'!$G$11:$G$12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RESULT'!$F$13:$F$19</c:f>
            </c:strRef>
          </c:cat>
          <c:val>
            <c:numRef>
              <c:f>'OVERALL RESULT'!$G$13:$G$19</c:f>
              <c:numCache/>
            </c:numRef>
          </c:val>
        </c:ser>
        <c:ser>
          <c:idx val="1"/>
          <c:order val="1"/>
          <c:tx>
            <c:strRef>
              <c:f>'OVERALL RESULT'!$H$11:$H$12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RESULT'!$F$13:$F$19</c:f>
            </c:strRef>
          </c:cat>
          <c:val>
            <c:numRef>
              <c:f>'OVERALL RESULT'!$H$13:$H$19</c:f>
              <c:numCache/>
            </c:numRef>
          </c:val>
        </c:ser>
        <c:ser>
          <c:idx val="2"/>
          <c:order val="2"/>
          <c:tx>
            <c:strRef>
              <c:f>'OVERALL RESULT'!$I$11:$I$12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RESULT'!$F$13:$F$19</c:f>
            </c:strRef>
          </c:cat>
          <c:val>
            <c:numRef>
              <c:f>'OVERALL RESULT'!$I$13:$I$19</c:f>
              <c:numCache/>
            </c:numRef>
          </c:val>
        </c:ser>
        <c:axId val="2145603802"/>
        <c:axId val="1648659285"/>
      </c:barChart>
      <c:catAx>
        <c:axId val="2145603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48659285"/>
      </c:catAx>
      <c:valAx>
        <c:axId val="16486592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Total Energy (kWh)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145603802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'OVERALL RESULT'!$L$11:$L$12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'OVERALL RESULT'!$K$13:$K$19</c:f>
            </c:strRef>
          </c:cat>
          <c:val>
            <c:numRef>
              <c:f>'OVERALL RESULT'!$L$13:$L$19</c:f>
              <c:numCache/>
            </c:numRef>
          </c:val>
          <c:smooth val="0"/>
        </c:ser>
        <c:ser>
          <c:idx val="1"/>
          <c:order val="1"/>
          <c:tx>
            <c:strRef>
              <c:f>'OVERALL RESULT'!$M$11:$M$12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'OVERALL RESULT'!$K$13:$K$19</c:f>
            </c:strRef>
          </c:cat>
          <c:val>
            <c:numRef>
              <c:f>'OVERALL RESULT'!$M$13:$M$19</c:f>
              <c:numCache/>
            </c:numRef>
          </c:val>
          <c:smooth val="0"/>
        </c:ser>
        <c:ser>
          <c:idx val="2"/>
          <c:order val="2"/>
          <c:tx>
            <c:strRef>
              <c:f>'OVERALL RESULT'!$N$11:$N$12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cat>
            <c:strRef>
              <c:f>'OVERALL RESULT'!$K$13:$K$19</c:f>
            </c:strRef>
          </c:cat>
          <c:val>
            <c:numRef>
              <c:f>'OVERALL RESULT'!$N$13:$N$19</c:f>
              <c:numCache/>
            </c:numRef>
          </c:val>
          <c:smooth val="0"/>
        </c:ser>
        <c:axId val="834198657"/>
        <c:axId val="750734936"/>
      </c:lineChart>
      <c:catAx>
        <c:axId val="834198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50734936"/>
      </c:catAx>
      <c:valAx>
        <c:axId val="7507349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Tokens per hour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34198657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RESULT'!$L$11:$L$12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RESULT'!$K$13:$K$19</c:f>
            </c:strRef>
          </c:cat>
          <c:val>
            <c:numRef>
              <c:f>'OVERALL RESULT'!$L$13:$L$19</c:f>
              <c:numCache/>
            </c:numRef>
          </c:val>
        </c:ser>
        <c:ser>
          <c:idx val="1"/>
          <c:order val="1"/>
          <c:tx>
            <c:strRef>
              <c:f>'OVERALL RESULT'!$M$11:$M$12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RESULT'!$K$13:$K$19</c:f>
            </c:strRef>
          </c:cat>
          <c:val>
            <c:numRef>
              <c:f>'OVERALL RESULT'!$M$13:$M$19</c:f>
              <c:numCache/>
            </c:numRef>
          </c:val>
        </c:ser>
        <c:ser>
          <c:idx val="2"/>
          <c:order val="2"/>
          <c:tx>
            <c:strRef>
              <c:f>'OVERALL RESULT'!$N$11:$N$12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RESULT'!$K$13:$K$19</c:f>
            </c:strRef>
          </c:cat>
          <c:val>
            <c:numRef>
              <c:f>'OVERALL RESULT'!$N$13:$N$19</c:f>
              <c:numCache/>
            </c:numRef>
          </c:val>
        </c:ser>
        <c:axId val="712645473"/>
        <c:axId val="884695032"/>
      </c:barChart>
      <c:catAx>
        <c:axId val="712645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84695032"/>
      </c:catAx>
      <c:valAx>
        <c:axId val="884695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Time per 1K Tokens (sec)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1264547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RESULT'!$P$11:$P$12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RESULT'!$O$13:$O$19</c:f>
            </c:strRef>
          </c:cat>
          <c:val>
            <c:numRef>
              <c:f>'OVERALL RESULT'!$P$13:$P$19</c:f>
              <c:numCache/>
            </c:numRef>
          </c:val>
        </c:ser>
        <c:ser>
          <c:idx val="1"/>
          <c:order val="1"/>
          <c:tx>
            <c:strRef>
              <c:f>'OVERALL RESULT'!$Q$11:$Q$12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RESULT'!$O$13:$O$19</c:f>
            </c:strRef>
          </c:cat>
          <c:val>
            <c:numRef>
              <c:f>'OVERALL RESULT'!$Q$13:$Q$19</c:f>
              <c:numCache/>
            </c:numRef>
          </c:val>
        </c:ser>
        <c:ser>
          <c:idx val="2"/>
          <c:order val="2"/>
          <c:tx>
            <c:strRef>
              <c:f>'OVERALL RESULT'!$R$11:$R$12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RESULT'!$O$13:$O$19</c:f>
            </c:strRef>
          </c:cat>
          <c:val>
            <c:numRef>
              <c:f>'OVERALL RESULT'!$R$13:$R$19</c:f>
              <c:numCache/>
            </c:numRef>
          </c:val>
        </c:ser>
        <c:axId val="1165393349"/>
        <c:axId val="1092916536"/>
      </c:barChart>
      <c:catAx>
        <c:axId val="11653933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092916536"/>
      </c:catAx>
      <c:valAx>
        <c:axId val="1092916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Energy per 1K Tokens (kWh)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65393349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RESULT'!$AB$11:$AB$12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RESULT'!$AA$13:$AA$19</c:f>
            </c:strRef>
          </c:cat>
          <c:val>
            <c:numRef>
              <c:f>'OVERALL RESULT'!$AB$13:$AB$19</c:f>
              <c:numCache/>
            </c:numRef>
          </c:val>
        </c:ser>
        <c:ser>
          <c:idx val="1"/>
          <c:order val="1"/>
          <c:tx>
            <c:strRef>
              <c:f>'OVERALL RESULT'!$AC$11:$AC$12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RESULT'!$AA$13:$AA$19</c:f>
            </c:strRef>
          </c:cat>
          <c:val>
            <c:numRef>
              <c:f>'OVERALL RESULT'!$AC$13:$AC$19</c:f>
              <c:numCache/>
            </c:numRef>
          </c:val>
        </c:ser>
        <c:ser>
          <c:idx val="2"/>
          <c:order val="2"/>
          <c:tx>
            <c:strRef>
              <c:f>'OVERALL RESULT'!$AD$11:$AD$12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RESULT'!$AA$13:$AA$19</c:f>
            </c:strRef>
          </c:cat>
          <c:val>
            <c:numRef>
              <c:f>'OVERALL RESULT'!$AD$13:$AD$19</c:f>
              <c:numCache/>
            </c:numRef>
          </c:val>
        </c:ser>
        <c:axId val="917735141"/>
        <c:axId val="1177347372"/>
      </c:barChart>
      <c:catAx>
        <c:axId val="917735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77347372"/>
      </c:catAx>
      <c:valAx>
        <c:axId val="1177347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Coverage Quality per unit Energy (kWh)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917735141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RESULT'!$AF$11:$AF$12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RESULT'!$AE$13:$AE$19</c:f>
            </c:strRef>
          </c:cat>
          <c:val>
            <c:numRef>
              <c:f>'OVERALL RESULT'!$AF$13:$AF$19</c:f>
              <c:numCache/>
            </c:numRef>
          </c:val>
        </c:ser>
        <c:ser>
          <c:idx val="1"/>
          <c:order val="1"/>
          <c:tx>
            <c:strRef>
              <c:f>'OVERALL RESULT'!$AG$11:$AG$12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RESULT'!$AE$13:$AE$19</c:f>
            </c:strRef>
          </c:cat>
          <c:val>
            <c:numRef>
              <c:f>'OVERALL RESULT'!$AG$13:$AG$19</c:f>
              <c:numCache/>
            </c:numRef>
          </c:val>
        </c:ser>
        <c:ser>
          <c:idx val="2"/>
          <c:order val="2"/>
          <c:tx>
            <c:strRef>
              <c:f>'OVERALL RESULT'!$AH$11:$AH$12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RESULT'!$AE$13:$AE$19</c:f>
            </c:strRef>
          </c:cat>
          <c:val>
            <c:numRef>
              <c:f>'OVERALL RESULT'!$AH$13:$AH$19</c:f>
              <c:numCache/>
            </c:numRef>
          </c:val>
        </c:ser>
        <c:axId val="665075606"/>
        <c:axId val="1136491213"/>
      </c:barChart>
      <c:catAx>
        <c:axId val="665075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36491213"/>
      </c:catAx>
      <c:valAx>
        <c:axId val="1136491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Coverage Quality per kg CO2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6507560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RESULT'!$AW$11:$AW$12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RESULT'!$AV$13:$AV$19</c:f>
            </c:strRef>
          </c:cat>
          <c:val>
            <c:numRef>
              <c:f>'OVERALL RESULT'!$AW$13:$AW$19</c:f>
              <c:numCache/>
            </c:numRef>
          </c:val>
        </c:ser>
        <c:ser>
          <c:idx val="1"/>
          <c:order val="1"/>
          <c:tx>
            <c:strRef>
              <c:f>'OVERALL RESULT'!$AX$11:$AX$12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RESULT'!$AV$13:$AV$19</c:f>
            </c:strRef>
          </c:cat>
          <c:val>
            <c:numRef>
              <c:f>'OVERALL RESULT'!$AX$13:$AX$19</c:f>
              <c:numCache/>
            </c:numRef>
          </c:val>
        </c:ser>
        <c:ser>
          <c:idx val="2"/>
          <c:order val="2"/>
          <c:tx>
            <c:strRef>
              <c:f>'OVERALL RESULT'!$AY$11:$AY$12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RESULT'!$AV$13:$AV$19</c:f>
            </c:strRef>
          </c:cat>
          <c:val>
            <c:numRef>
              <c:f>'OVERALL RESULT'!$AY$13:$AY$19</c:f>
              <c:numCache/>
            </c:numRef>
          </c:val>
        </c:ser>
        <c:axId val="119883717"/>
        <c:axId val="1973673514"/>
      </c:barChart>
      <c:catAx>
        <c:axId val="119883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73673514"/>
      </c:catAx>
      <c:valAx>
        <c:axId val="1973673514"/>
        <c:scaling>
          <c:orientation val="minMax"/>
          <c:max val="12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Tokens per hour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19883717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RESULT'!$T$11:$T$12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RESULT'!$S$13:$S$19</c:f>
            </c:strRef>
          </c:cat>
          <c:val>
            <c:numRef>
              <c:f>'OVERALL RESULT'!$T$13:$T$19</c:f>
              <c:numCache/>
            </c:numRef>
          </c:val>
        </c:ser>
        <c:ser>
          <c:idx val="1"/>
          <c:order val="1"/>
          <c:tx>
            <c:strRef>
              <c:f>'OVERALL RESULT'!$U$11:$U$12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RESULT'!$S$13:$S$19</c:f>
            </c:strRef>
          </c:cat>
          <c:val>
            <c:numRef>
              <c:f>'OVERALL RESULT'!$U$13:$U$19</c:f>
              <c:numCache/>
            </c:numRef>
          </c:val>
        </c:ser>
        <c:ser>
          <c:idx val="2"/>
          <c:order val="2"/>
          <c:tx>
            <c:strRef>
              <c:f>'OVERALL RESULT'!$V$11:$V$12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RESULT'!$S$13:$S$19</c:f>
            </c:strRef>
          </c:cat>
          <c:val>
            <c:numRef>
              <c:f>'OVERALL RESULT'!$V$13:$V$19</c:f>
              <c:numCache/>
            </c:numRef>
          </c:val>
        </c:ser>
        <c:axId val="732044388"/>
        <c:axId val="89124682"/>
      </c:barChart>
      <c:catAx>
        <c:axId val="7320443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9124682"/>
      </c:catAx>
      <c:valAx>
        <c:axId val="89124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Carbon Emission per 1K Tokens (kgCO2)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732044388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RESULT'!$X$11:$X$12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RESULT'!$W$13:$W$19</c:f>
            </c:strRef>
          </c:cat>
          <c:val>
            <c:numRef>
              <c:f>'OVERALL RESULT'!$X$13:$X$19</c:f>
              <c:numCache/>
            </c:numRef>
          </c:val>
        </c:ser>
        <c:ser>
          <c:idx val="1"/>
          <c:order val="1"/>
          <c:tx>
            <c:strRef>
              <c:f>'OVERALL RESULT'!$Y$11:$Y$12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RESULT'!$W$13:$W$19</c:f>
            </c:strRef>
          </c:cat>
          <c:val>
            <c:numRef>
              <c:f>'OVERALL RESULT'!$Y$13:$Y$19</c:f>
              <c:numCache/>
            </c:numRef>
          </c:val>
        </c:ser>
        <c:ser>
          <c:idx val="2"/>
          <c:order val="2"/>
          <c:tx>
            <c:strRef>
              <c:f>'OVERALL RESULT'!$Z$11:$Z$12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RESULT'!$W$13:$W$19</c:f>
            </c:strRef>
          </c:cat>
          <c:val>
            <c:numRef>
              <c:f>'OVERALL RESULT'!$Z$13:$Z$19</c:f>
              <c:numCache/>
            </c:numRef>
          </c:val>
        </c:ser>
        <c:axId val="822972772"/>
        <c:axId val="1664918083"/>
      </c:barChart>
      <c:catAx>
        <c:axId val="8229727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664918083"/>
      </c:catAx>
      <c:valAx>
        <c:axId val="16649180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Coverage Quality per 1K Tokens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822972772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RESULT'!$BB$11:$BB$12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RESULT'!$BA$13:$BA$19</c:f>
            </c:strRef>
          </c:cat>
          <c:val>
            <c:numRef>
              <c:f>'OVERALL RESULT'!$BB$13:$BB$19</c:f>
              <c:numCache/>
            </c:numRef>
          </c:val>
        </c:ser>
        <c:ser>
          <c:idx val="1"/>
          <c:order val="1"/>
          <c:tx>
            <c:strRef>
              <c:f>'OVERALL RESULT'!$BC$11:$BC$12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RESULT'!$BA$13:$BA$19</c:f>
            </c:strRef>
          </c:cat>
          <c:val>
            <c:numRef>
              <c:f>'OVERALL RESULT'!$BC$13:$BC$19</c:f>
              <c:numCache/>
            </c:numRef>
          </c:val>
        </c:ser>
        <c:ser>
          <c:idx val="2"/>
          <c:order val="2"/>
          <c:tx>
            <c:strRef>
              <c:f>'OVERALL RESULT'!$BD$11:$BD$12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RESULT'!$BA$13:$BA$19</c:f>
            </c:strRef>
          </c:cat>
          <c:val>
            <c:numRef>
              <c:f>'OVERALL RESULT'!$BD$13:$BD$19</c:f>
              <c:numCache/>
            </c:numRef>
          </c:val>
        </c:ser>
        <c:axId val="372111693"/>
        <c:axId val="415284797"/>
      </c:barChart>
      <c:catAx>
        <c:axId val="3721116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15284797"/>
      </c:catAx>
      <c:valAx>
        <c:axId val="415284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SQScore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72111693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RESULT'!$BG$11:$BG$12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RESULT'!$BF$13:$BF$19</c:f>
            </c:strRef>
          </c:cat>
          <c:val>
            <c:numRef>
              <c:f>'OVERALL RESULT'!$BG$13:$BG$19</c:f>
              <c:numCache/>
            </c:numRef>
          </c:val>
        </c:ser>
        <c:ser>
          <c:idx val="1"/>
          <c:order val="1"/>
          <c:tx>
            <c:strRef>
              <c:f>'OVERALL RESULT'!$BH$11:$BH$12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RESULT'!$BF$13:$BF$19</c:f>
            </c:strRef>
          </c:cat>
          <c:val>
            <c:numRef>
              <c:f>'OVERALL RESULT'!$BH$13:$BH$19</c:f>
              <c:numCache/>
            </c:numRef>
          </c:val>
        </c:ser>
        <c:ser>
          <c:idx val="2"/>
          <c:order val="2"/>
          <c:tx>
            <c:strRef>
              <c:f>'OVERALL RESULT'!$BI$11:$BI$12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RESULT'!$BF$13:$BF$19</c:f>
            </c:strRef>
          </c:cat>
          <c:val>
            <c:numRef>
              <c:f>'OVERALL RESULT'!$BI$13:$BI$19</c:f>
              <c:numCache/>
            </c:numRef>
          </c:val>
        </c:ser>
        <c:axId val="1339716270"/>
        <c:axId val="201839044"/>
      </c:barChart>
      <c:catAx>
        <c:axId val="13397162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201839044"/>
      </c:catAx>
      <c:valAx>
        <c:axId val="2018390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SQScore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39716270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'OVERALL RESULT'!$BK$11:$BK$12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'OVERALL RESULT'!$BJ$13:$BJ$19</c:f>
            </c:strRef>
          </c:cat>
          <c:val>
            <c:numRef>
              <c:f>'OVERALL RESULT'!$BK$13:$BK$19</c:f>
              <c:numCache/>
            </c:numRef>
          </c:val>
        </c:ser>
        <c:ser>
          <c:idx val="1"/>
          <c:order val="1"/>
          <c:tx>
            <c:strRef>
              <c:f>'OVERALL RESULT'!$BL$11:$BL$12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'OVERALL RESULT'!$BJ$13:$BJ$19</c:f>
            </c:strRef>
          </c:cat>
          <c:val>
            <c:numRef>
              <c:f>'OVERALL RESULT'!$BL$13:$BL$19</c:f>
              <c:numCache/>
            </c:numRef>
          </c:val>
        </c:ser>
        <c:ser>
          <c:idx val="2"/>
          <c:order val="2"/>
          <c:tx>
            <c:strRef>
              <c:f>'OVERALL RESULT'!$BM$11:$BM$12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'OVERALL RESULT'!$BJ$13:$BJ$19</c:f>
            </c:strRef>
          </c:cat>
          <c:val>
            <c:numRef>
              <c:f>'OVERALL RESULT'!$BM$13:$BM$19</c:f>
              <c:numCache/>
            </c:numRef>
          </c:val>
        </c:ser>
        <c:axId val="1967882306"/>
        <c:axId val="1498044751"/>
      </c:barChart>
      <c:catAx>
        <c:axId val="19678823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Prompt Strategies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498044751"/>
      </c:catAx>
      <c:valAx>
        <c:axId val="14980447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SQScore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967882306"/>
      </c:valAx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2.xml"/><Relationship Id="rId10" Type="http://schemas.openxmlformats.org/officeDocument/2006/relationships/chart" Target="../charts/chart11.xml"/><Relationship Id="rId13" Type="http://schemas.openxmlformats.org/officeDocument/2006/relationships/chart" Target="../charts/chart14.xml"/><Relationship Id="rId12" Type="http://schemas.openxmlformats.org/officeDocument/2006/relationships/chart" Target="../charts/chart13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371475</xdr:colOff>
      <xdr:row>4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180975</xdr:rowOff>
    </xdr:from>
    <xdr:ext cx="5314950" cy="28289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647700</xdr:colOff>
      <xdr:row>20</xdr:row>
      <xdr:rowOff>47625</xdr:rowOff>
    </xdr:from>
    <xdr:ext cx="5715000" cy="2390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552450</xdr:colOff>
      <xdr:row>21</xdr:row>
      <xdr:rowOff>9525</xdr:rowOff>
    </xdr:from>
    <xdr:ext cx="5715000" cy="2162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552450</xdr:colOff>
      <xdr:row>21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514350</xdr:colOff>
      <xdr:row>21</xdr:row>
      <xdr:rowOff>9525</xdr:rowOff>
    </xdr:from>
    <xdr:ext cx="5715000" cy="33337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29</xdr:col>
      <xdr:colOff>809625</xdr:colOff>
      <xdr:row>39</xdr:row>
      <xdr:rowOff>123825</xdr:rowOff>
    </xdr:from>
    <xdr:ext cx="5715000" cy="3228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36</xdr:col>
      <xdr:colOff>76200</xdr:colOff>
      <xdr:row>29</xdr:row>
      <xdr:rowOff>9525</xdr:rowOff>
    </xdr:from>
    <xdr:ext cx="5715000" cy="32289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42</xdr:col>
      <xdr:colOff>295275</xdr:colOff>
      <xdr:row>20</xdr:row>
      <xdr:rowOff>104775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23</xdr:col>
      <xdr:colOff>619125</xdr:colOff>
      <xdr:row>20</xdr:row>
      <xdr:rowOff>38100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29</xdr:col>
      <xdr:colOff>723900</xdr:colOff>
      <xdr:row>20</xdr:row>
      <xdr:rowOff>19050</xdr:rowOff>
    </xdr:from>
    <xdr:ext cx="56388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48</xdr:col>
      <xdr:colOff>476250</xdr:colOff>
      <xdr:row>20</xdr:row>
      <xdr:rowOff>161925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54</xdr:col>
      <xdr:colOff>695325</xdr:colOff>
      <xdr:row>21</xdr:row>
      <xdr:rowOff>9525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59</xdr:col>
      <xdr:colOff>161925</xdr:colOff>
      <xdr:row>24</xdr:row>
      <xdr:rowOff>28575</xdr:rowOff>
    </xdr:from>
    <xdr:ext cx="5581650" cy="36957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0.88</v>
      </c>
      <c r="C2" s="2">
        <v>0.97</v>
      </c>
      <c r="D2" s="2">
        <v>0.97</v>
      </c>
      <c r="E2" s="2">
        <v>0.92</v>
      </c>
      <c r="F2" s="2">
        <v>0.94</v>
      </c>
      <c r="G2" s="2">
        <v>0.96</v>
      </c>
      <c r="H2" s="2">
        <v>0.96</v>
      </c>
    </row>
    <row r="3">
      <c r="A3" s="2" t="s">
        <v>9</v>
      </c>
      <c r="B3" s="2">
        <v>0.81</v>
      </c>
      <c r="C3" s="2">
        <v>0.98</v>
      </c>
      <c r="D3" s="2">
        <v>0.94</v>
      </c>
      <c r="E3" s="2">
        <v>0.92</v>
      </c>
      <c r="F3" s="2">
        <v>0.96</v>
      </c>
      <c r="G3" s="2">
        <v>0.98</v>
      </c>
      <c r="H3" s="2">
        <v>0.94</v>
      </c>
    </row>
    <row r="4">
      <c r="A4" s="2" t="s">
        <v>10</v>
      </c>
      <c r="B4" s="2">
        <v>0.85</v>
      </c>
      <c r="C4" s="2">
        <v>0.92</v>
      </c>
      <c r="D4" s="2">
        <v>0.87</v>
      </c>
      <c r="E4" s="2">
        <v>0.8</v>
      </c>
      <c r="F4" s="2">
        <v>0.82</v>
      </c>
      <c r="G4" s="2">
        <v>0.91</v>
      </c>
      <c r="H4" s="2">
        <v>0.75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3.63"/>
    <col customWidth="1" min="9" max="9" width="15.13"/>
    <col customWidth="1" min="13" max="14" width="13.63"/>
    <col customWidth="1" min="35" max="35" width="13.88"/>
    <col customWidth="1" min="55" max="56" width="13.88"/>
  </cols>
  <sheetData>
    <row r="1">
      <c r="B1" s="3" t="s">
        <v>9</v>
      </c>
      <c r="I1" s="4"/>
      <c r="J1" s="4"/>
      <c r="K1" s="4"/>
      <c r="L1" s="4"/>
      <c r="M1" s="5"/>
      <c r="N1" s="6"/>
      <c r="O1" s="6"/>
      <c r="P1" s="6"/>
      <c r="Q1" s="4"/>
      <c r="R1" s="4"/>
      <c r="S1" s="4"/>
      <c r="T1" s="4"/>
      <c r="U1" s="4"/>
      <c r="V1" s="4"/>
      <c r="X1" s="3" t="s">
        <v>8</v>
      </c>
      <c r="AE1" s="7"/>
      <c r="AF1" s="7"/>
      <c r="AG1" s="7"/>
      <c r="AH1" s="7"/>
      <c r="AI1" s="8"/>
      <c r="AJ1" s="9"/>
      <c r="AK1" s="9"/>
      <c r="AL1" s="7"/>
      <c r="AM1" s="7"/>
      <c r="AN1" s="7"/>
      <c r="AO1" s="7"/>
      <c r="AP1" s="7"/>
      <c r="AR1" s="3" t="s">
        <v>10</v>
      </c>
      <c r="AY1" s="4"/>
      <c r="AZ1" s="4"/>
      <c r="BA1" s="4"/>
      <c r="BB1" s="4"/>
      <c r="BC1" s="5"/>
      <c r="BD1" s="6"/>
      <c r="BE1" s="6"/>
      <c r="BF1" s="4"/>
      <c r="BG1" s="4"/>
      <c r="BH1" s="4"/>
      <c r="BI1" s="4"/>
      <c r="BJ1" s="4"/>
      <c r="BK1" s="4"/>
      <c r="BL1" s="4"/>
      <c r="BM1" s="4"/>
    </row>
    <row r="2"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1" t="s">
        <v>17</v>
      </c>
      <c r="I2" s="12" t="s">
        <v>18</v>
      </c>
      <c r="J2" s="12" t="s">
        <v>19</v>
      </c>
      <c r="K2" s="13" t="s">
        <v>20</v>
      </c>
      <c r="L2" s="14" t="s">
        <v>21</v>
      </c>
      <c r="M2" s="15" t="s">
        <v>22</v>
      </c>
      <c r="N2" s="16" t="s">
        <v>23</v>
      </c>
      <c r="O2" s="16"/>
      <c r="P2" s="16" t="s">
        <v>24</v>
      </c>
      <c r="Q2" s="13" t="s">
        <v>25</v>
      </c>
      <c r="R2" s="13" t="s">
        <v>26</v>
      </c>
      <c r="S2" s="17"/>
      <c r="T2" s="17" t="s">
        <v>27</v>
      </c>
      <c r="U2" s="14" t="s">
        <v>28</v>
      </c>
      <c r="V2" s="17" t="s">
        <v>29</v>
      </c>
      <c r="X2" s="10" t="s">
        <v>11</v>
      </c>
      <c r="Y2" s="10" t="s">
        <v>12</v>
      </c>
      <c r="Z2" s="10" t="s">
        <v>13</v>
      </c>
      <c r="AA2" s="10" t="s">
        <v>14</v>
      </c>
      <c r="AB2" s="10" t="s">
        <v>15</v>
      </c>
      <c r="AC2" s="10" t="s">
        <v>16</v>
      </c>
      <c r="AD2" s="11" t="s">
        <v>17</v>
      </c>
      <c r="AE2" s="12" t="s">
        <v>18</v>
      </c>
      <c r="AF2" s="12" t="s">
        <v>19</v>
      </c>
      <c r="AG2" s="12" t="s">
        <v>20</v>
      </c>
      <c r="AH2" s="18" t="s">
        <v>21</v>
      </c>
      <c r="AI2" s="19" t="s">
        <v>22</v>
      </c>
      <c r="AJ2" s="16" t="s">
        <v>23</v>
      </c>
      <c r="AK2" s="16" t="s">
        <v>24</v>
      </c>
      <c r="AL2" s="13" t="s">
        <v>25</v>
      </c>
      <c r="AM2" s="13" t="s">
        <v>26</v>
      </c>
      <c r="AN2" s="17" t="s">
        <v>27</v>
      </c>
      <c r="AO2" s="14" t="s">
        <v>28</v>
      </c>
      <c r="AP2" s="17" t="s">
        <v>29</v>
      </c>
      <c r="AR2" s="20" t="s">
        <v>11</v>
      </c>
      <c r="AS2" s="20" t="s">
        <v>12</v>
      </c>
      <c r="AT2" s="20" t="s">
        <v>13</v>
      </c>
      <c r="AU2" s="20" t="s">
        <v>14</v>
      </c>
      <c r="AV2" s="20" t="s">
        <v>15</v>
      </c>
      <c r="AW2" s="20" t="s">
        <v>16</v>
      </c>
      <c r="AX2" s="2" t="s">
        <v>17</v>
      </c>
      <c r="AY2" s="13" t="s">
        <v>18</v>
      </c>
      <c r="AZ2" s="13" t="s">
        <v>19</v>
      </c>
      <c r="BA2" s="13" t="s">
        <v>20</v>
      </c>
      <c r="BB2" s="18" t="s">
        <v>21</v>
      </c>
      <c r="BC2" s="15" t="s">
        <v>22</v>
      </c>
      <c r="BD2" s="16" t="s">
        <v>23</v>
      </c>
      <c r="BE2" s="16" t="s">
        <v>24</v>
      </c>
      <c r="BF2" s="13" t="s">
        <v>25</v>
      </c>
      <c r="BG2" s="13" t="s">
        <v>26</v>
      </c>
      <c r="BH2" s="17" t="s">
        <v>27</v>
      </c>
      <c r="BI2" s="14" t="s">
        <v>28</v>
      </c>
      <c r="BJ2" s="17" t="s">
        <v>29</v>
      </c>
      <c r="BK2" s="17"/>
      <c r="BL2" s="17"/>
      <c r="BM2" s="17"/>
    </row>
    <row r="3">
      <c r="A3" s="21" t="s">
        <v>1</v>
      </c>
      <c r="B3" s="22">
        <v>539914.0</v>
      </c>
      <c r="C3" s="22">
        <v>33479.19</v>
      </c>
      <c r="D3" s="22">
        <v>0.3942037234</v>
      </c>
      <c r="E3" s="22">
        <v>0.3948556234</v>
      </c>
      <c r="F3" s="22">
        <v>0.6410424384</v>
      </c>
      <c r="G3" s="22">
        <v>0.09289386028</v>
      </c>
      <c r="H3" s="2">
        <v>0.81</v>
      </c>
      <c r="I3" s="23">
        <f t="shared" ref="I3:I9" si="1">SUM(E3+F3+G3)</f>
        <v>1.128791922</v>
      </c>
      <c r="J3" s="23">
        <f t="shared" ref="J3:J9" si="2">C3/3600</f>
        <v>9.299775</v>
      </c>
      <c r="K3" s="23">
        <f t="shared" ref="K3:K9" si="3">(B3*3600)/C3</f>
        <v>58056.67341</v>
      </c>
      <c r="L3" s="23">
        <f t="shared" ref="L3:L9" si="4">(C3*1000)/B3</f>
        <v>62.00837541</v>
      </c>
      <c r="M3" s="24">
        <f t="shared" ref="M3:M9" si="5">(D3*1000)/B3</f>
        <v>0.0007301231741</v>
      </c>
      <c r="N3" s="25">
        <f t="shared" ref="N3:N9" si="6">(I3*1000)/B3</f>
        <v>0.002090688373</v>
      </c>
      <c r="O3" s="25"/>
      <c r="P3" s="25">
        <f t="shared" ref="P3:P9" si="7">(H3*1000)/B3</f>
        <v>0.001500238927</v>
      </c>
      <c r="Q3" s="23">
        <f t="shared" ref="Q3:Q9" si="8">H3/I3</f>
        <v>0.7175813223</v>
      </c>
      <c r="R3" s="23">
        <f t="shared" ref="R3:R9" si="9">H3/D3</f>
        <v>2.054775112</v>
      </c>
      <c r="S3" s="26"/>
      <c r="T3" s="26">
        <f t="shared" ref="T3:T9" si="10">(POWER(H3,0.5))/(I3*J3*D3)</f>
        <v>0.217488077</v>
      </c>
      <c r="U3" s="23">
        <f t="shared" ref="U3:U9" si="11">(H3)/(I3*J3*D3)
</f>
        <v>0.1957392693</v>
      </c>
      <c r="V3" s="23">
        <f t="shared" ref="V3:V9" si="12">(POWER(H3,2))/(I3*J3*D3)
</f>
        <v>0.1585488081</v>
      </c>
      <c r="W3" s="21" t="s">
        <v>1</v>
      </c>
      <c r="X3" s="22">
        <v>560523.0</v>
      </c>
      <c r="Y3" s="22">
        <v>26798.18</v>
      </c>
      <c r="Z3" s="22">
        <v>0.3100909135</v>
      </c>
      <c r="AA3" s="22">
        <v>0.3160688692</v>
      </c>
      <c r="AB3" s="22">
        <v>0.4975099805</v>
      </c>
      <c r="AC3" s="22">
        <v>0.0743582687</v>
      </c>
      <c r="AD3" s="2">
        <v>0.88</v>
      </c>
      <c r="AE3" s="23">
        <f t="shared" ref="AE3:AE9" si="13">SUM(AA3+AB3+AC3)</f>
        <v>0.8879371184</v>
      </c>
      <c r="AF3" s="23">
        <f t="shared" ref="AF3:AF9" si="14">Y3/3600</f>
        <v>7.443938889</v>
      </c>
      <c r="AG3" s="23">
        <f t="shared" ref="AG3:AG9" si="15">(X3*3600)/Y3</f>
        <v>75299.24793</v>
      </c>
      <c r="AH3" s="23">
        <f t="shared" ref="AH3:AH9" si="16">(Y3*1000)/X3</f>
        <v>47.80924244</v>
      </c>
      <c r="AI3" s="24">
        <f t="shared" ref="AI3:AI9" si="17">(Z3*1000)/X3</f>
        <v>0.0005532171088</v>
      </c>
      <c r="AJ3" s="25">
        <f t="shared" ref="AJ3:AJ9" si="18">(AE3*1000)/X3</f>
        <v>0.00158412254</v>
      </c>
      <c r="AK3" s="25">
        <f t="shared" ref="AK3:AK9" si="19">(AD3*1000)/X3</f>
        <v>0.001569962339</v>
      </c>
      <c r="AL3" s="23">
        <f t="shared" ref="AL3:AL9" si="20">AD3/AE3</f>
        <v>0.9910611706</v>
      </c>
      <c r="AM3" s="23">
        <f t="shared" ref="AM3:AM9" si="21">AD3/Z3</f>
        <v>2.837877415</v>
      </c>
      <c r="AN3" s="23">
        <f t="shared" ref="AN3:AN9" si="22">(POWER(AD3,0.5))/(AE3*AF3*Z3)</f>
        <v>0.4576856388</v>
      </c>
      <c r="AO3" s="23">
        <f t="shared" ref="AO3:AO9" si="23">(AD3)/(AE3*AF3*Z3)
</f>
        <v>0.4293471866</v>
      </c>
      <c r="AP3" s="23">
        <f t="shared" ref="AP3:AP9" si="24">(POWER(AD3,2))/(AE3*AF3*Z3)
</f>
        <v>0.3778255242</v>
      </c>
      <c r="AQ3" s="21" t="s">
        <v>1</v>
      </c>
      <c r="AR3" s="22">
        <v>644234.0</v>
      </c>
      <c r="AS3" s="22">
        <v>36678.12</v>
      </c>
      <c r="AT3" s="22">
        <v>0.1722183077</v>
      </c>
      <c r="AU3" s="22">
        <v>0.4325711537</v>
      </c>
      <c r="AV3" s="22">
        <v>0.7068771558</v>
      </c>
      <c r="AW3" s="22">
        <v>0.1017662969</v>
      </c>
      <c r="AX3" s="2">
        <v>0.85</v>
      </c>
      <c r="AY3" s="27">
        <f t="shared" ref="AY3:AY9" si="25">SUM(AU3+AV3+AW3)</f>
        <v>1.241214606</v>
      </c>
      <c r="AZ3" s="27">
        <f t="shared" ref="AZ3:AZ9" si="26">AS3/3600</f>
        <v>10.18836667</v>
      </c>
      <c r="BA3" s="27">
        <f t="shared" ref="BA3:BA9" si="27">(AR3*3600)/AS3</f>
        <v>63232.31398</v>
      </c>
      <c r="BB3" s="27">
        <f t="shared" ref="BB3:BB9" si="28">(AS3*1000)/AR3</f>
        <v>56.93291568</v>
      </c>
      <c r="BC3" s="28">
        <f t="shared" ref="BC3:BC9" si="29">(AT3*1000)/AR3</f>
        <v>0.0002673225997</v>
      </c>
      <c r="BD3" s="29">
        <f t="shared" ref="BD3:BD9" si="30">(AY3*1000)/AR3</f>
        <v>0.001926651817</v>
      </c>
      <c r="BE3" s="29">
        <f t="shared" ref="BE3:BE9" si="31">(AX3*1000)/AR3</f>
        <v>0.001319396368</v>
      </c>
      <c r="BF3" s="27">
        <f t="shared" ref="BF3:BF9" si="32">AX3/AY3</f>
        <v>0.684813082</v>
      </c>
      <c r="BG3" s="27">
        <f t="shared" ref="BG3:BG9" si="33">AX3/AT3</f>
        <v>4.935596055</v>
      </c>
      <c r="BH3" s="27">
        <f t="shared" ref="BH3:BH9" si="34">(POWER(AX3,0.5))/(AY3*AZ3*AT3)</f>
        <v>0.4233296637</v>
      </c>
      <c r="BI3" s="27">
        <f t="shared" ref="BI3:BI9" si="35">(AX3)/(AY3*AZ3*AT3)
</f>
        <v>0.3902906655</v>
      </c>
      <c r="BJ3" s="27">
        <f t="shared" ref="BJ3:BJ9" si="36">(POWER(AX3,2))/(AY3*AZ3*AT3)
</f>
        <v>0.3317470657</v>
      </c>
      <c r="BK3" s="27"/>
      <c r="BL3" s="27"/>
      <c r="BM3" s="27"/>
    </row>
    <row r="4">
      <c r="A4" s="21" t="s">
        <v>2</v>
      </c>
      <c r="B4" s="22">
        <v>672624.0</v>
      </c>
      <c r="C4" s="22">
        <v>24089.82</v>
      </c>
      <c r="D4" s="22">
        <v>0.3806107375</v>
      </c>
      <c r="E4" s="22">
        <v>0.2841089495</v>
      </c>
      <c r="F4" s="22">
        <v>0.457515178</v>
      </c>
      <c r="G4" s="22">
        <v>0.06683908704</v>
      </c>
      <c r="H4" s="2">
        <v>0.98</v>
      </c>
      <c r="I4" s="23">
        <f t="shared" si="1"/>
        <v>0.8084632145</v>
      </c>
      <c r="J4" s="23">
        <f t="shared" si="2"/>
        <v>6.691616667</v>
      </c>
      <c r="K4" s="23">
        <f t="shared" si="3"/>
        <v>100517.4136</v>
      </c>
      <c r="L4" s="23">
        <f t="shared" si="4"/>
        <v>35.81468993</v>
      </c>
      <c r="M4" s="24">
        <f t="shared" si="5"/>
        <v>0.000565859585</v>
      </c>
      <c r="N4" s="25">
        <f t="shared" si="6"/>
        <v>0.001201954159</v>
      </c>
      <c r="O4" s="25"/>
      <c r="P4" s="25">
        <f t="shared" si="7"/>
        <v>0.001456980423</v>
      </c>
      <c r="Q4" s="23">
        <f t="shared" si="8"/>
        <v>1.212176364</v>
      </c>
      <c r="R4" s="23">
        <f t="shared" si="9"/>
        <v>2.574809125</v>
      </c>
      <c r="S4" s="26"/>
      <c r="T4" s="26">
        <f t="shared" si="10"/>
        <v>0.4807736792</v>
      </c>
      <c r="U4" s="23">
        <f t="shared" si="11"/>
        <v>0.4759416603</v>
      </c>
      <c r="V4" s="23">
        <f t="shared" si="12"/>
        <v>0.4664228271</v>
      </c>
      <c r="W4" s="21" t="s">
        <v>2</v>
      </c>
      <c r="X4" s="22">
        <v>872574.0</v>
      </c>
      <c r="Y4" s="22">
        <v>25804.55</v>
      </c>
      <c r="Z4" s="22">
        <v>0.3032122906</v>
      </c>
      <c r="AA4" s="22">
        <v>0.3043344708</v>
      </c>
      <c r="AB4" s="22">
        <v>0.4923078447</v>
      </c>
      <c r="AC4" s="22">
        <v>0.07159804841</v>
      </c>
      <c r="AD4" s="2">
        <v>0.97</v>
      </c>
      <c r="AE4" s="23">
        <f t="shared" si="13"/>
        <v>0.8682403639</v>
      </c>
      <c r="AF4" s="23">
        <f t="shared" si="14"/>
        <v>7.167930556</v>
      </c>
      <c r="AG4" s="23">
        <f t="shared" si="15"/>
        <v>121733.0432</v>
      </c>
      <c r="AH4" s="23">
        <f t="shared" si="16"/>
        <v>29.57290728</v>
      </c>
      <c r="AI4" s="24">
        <f t="shared" si="17"/>
        <v>0.0003474917779</v>
      </c>
      <c r="AJ4" s="25">
        <f t="shared" si="18"/>
        <v>0.0009950335031</v>
      </c>
      <c r="AK4" s="25">
        <f t="shared" si="19"/>
        <v>0.001111653567</v>
      </c>
      <c r="AL4" s="23">
        <f t="shared" si="20"/>
        <v>1.117202149</v>
      </c>
      <c r="AM4" s="23">
        <f t="shared" si="21"/>
        <v>3.199078765</v>
      </c>
      <c r="AN4" s="23">
        <f t="shared" si="22"/>
        <v>0.5219216408</v>
      </c>
      <c r="AO4" s="23">
        <f t="shared" si="23"/>
        <v>0.5140332024</v>
      </c>
      <c r="AP4" s="23">
        <f t="shared" si="24"/>
        <v>0.4986122063</v>
      </c>
      <c r="AQ4" s="21" t="s">
        <v>2</v>
      </c>
      <c r="AR4" s="22">
        <v>906318.0</v>
      </c>
      <c r="AS4" s="22">
        <v>33388.65</v>
      </c>
      <c r="AT4" s="22">
        <v>0.5284217504</v>
      </c>
      <c r="AU4" s="22">
        <v>0.3937539771</v>
      </c>
      <c r="AV4" s="22">
        <v>0.6360441988</v>
      </c>
      <c r="AW4" s="22">
        <v>0.09263349715</v>
      </c>
      <c r="AX4" s="2">
        <v>0.92</v>
      </c>
      <c r="AY4" s="27">
        <f t="shared" si="25"/>
        <v>1.122431673</v>
      </c>
      <c r="AZ4" s="27">
        <f t="shared" si="26"/>
        <v>9.274625</v>
      </c>
      <c r="BA4" s="27">
        <f t="shared" si="27"/>
        <v>97720.17737</v>
      </c>
      <c r="BB4" s="27">
        <f t="shared" si="28"/>
        <v>36.83988401</v>
      </c>
      <c r="BC4" s="28">
        <f t="shared" si="29"/>
        <v>0.0005830423211</v>
      </c>
      <c r="BD4" s="29">
        <f t="shared" si="30"/>
        <v>0.001238452368</v>
      </c>
      <c r="BE4" s="29">
        <f t="shared" si="31"/>
        <v>0.001015096247</v>
      </c>
      <c r="BF4" s="27">
        <f t="shared" si="32"/>
        <v>0.8196490014</v>
      </c>
      <c r="BG4" s="27">
        <f t="shared" si="33"/>
        <v>1.741033558</v>
      </c>
      <c r="BH4" s="27">
        <f t="shared" si="34"/>
        <v>0.1743640533</v>
      </c>
      <c r="BI4" s="27">
        <f t="shared" si="35"/>
        <v>0.1672441247</v>
      </c>
      <c r="BJ4" s="27">
        <f t="shared" si="36"/>
        <v>0.1538645947</v>
      </c>
      <c r="BK4" s="27"/>
      <c r="BL4" s="27"/>
      <c r="BM4" s="27"/>
    </row>
    <row r="5">
      <c r="A5" s="21" t="s">
        <v>3</v>
      </c>
      <c r="B5" s="30">
        <v>615733.0</v>
      </c>
      <c r="C5" s="30">
        <v>28276.44069582299</v>
      </c>
      <c r="D5" s="30">
        <v>0.44481272664059823</v>
      </c>
      <c r="E5" s="30">
        <v>0.3334861620268546</v>
      </c>
      <c r="F5" s="30">
        <v>0.5401789740872731</v>
      </c>
      <c r="G5" s="30">
        <v>0.07845540244148955</v>
      </c>
      <c r="H5" s="2">
        <v>0.94</v>
      </c>
      <c r="I5" s="23">
        <f t="shared" si="1"/>
        <v>0.9521205386</v>
      </c>
      <c r="J5" s="23">
        <f t="shared" si="2"/>
        <v>7.85456686</v>
      </c>
      <c r="K5" s="23">
        <f t="shared" si="3"/>
        <v>78391.71924</v>
      </c>
      <c r="L5" s="23">
        <f t="shared" si="4"/>
        <v>45.92321785</v>
      </c>
      <c r="M5" s="24">
        <f t="shared" si="5"/>
        <v>0.0007224117055</v>
      </c>
      <c r="N5" s="25">
        <f t="shared" si="6"/>
        <v>0.001546320464</v>
      </c>
      <c r="O5" s="25"/>
      <c r="P5" s="25">
        <f t="shared" si="7"/>
        <v>0.001526635733</v>
      </c>
      <c r="Q5" s="23">
        <f t="shared" si="8"/>
        <v>0.9872699537</v>
      </c>
      <c r="R5" s="23">
        <f t="shared" si="9"/>
        <v>2.113248888</v>
      </c>
      <c r="S5" s="26"/>
      <c r="T5" s="26">
        <f t="shared" si="10"/>
        <v>0.2914556964</v>
      </c>
      <c r="U5" s="23">
        <f t="shared" si="11"/>
        <v>0.2825767818</v>
      </c>
      <c r="V5" s="23">
        <f t="shared" si="12"/>
        <v>0.2656221749</v>
      </c>
      <c r="W5" s="21" t="s">
        <v>3</v>
      </c>
      <c r="X5" s="30">
        <v>765580.0</v>
      </c>
      <c r="Y5" s="30">
        <v>30071.06331507698</v>
      </c>
      <c r="Z5" s="30">
        <v>0.35409337689710274</v>
      </c>
      <c r="AA5" s="30">
        <v>0.35464914713579504</v>
      </c>
      <c r="AB5" s="30">
        <v>0.5758535995713955</v>
      </c>
      <c r="AC5" s="30">
        <v>0.08343426031981799</v>
      </c>
      <c r="AD5" s="2">
        <v>0.97</v>
      </c>
      <c r="AE5" s="23">
        <f t="shared" si="13"/>
        <v>1.013937007</v>
      </c>
      <c r="AF5" s="23">
        <f t="shared" si="14"/>
        <v>8.353073143</v>
      </c>
      <c r="AG5" s="23">
        <f t="shared" si="15"/>
        <v>91652.49566</v>
      </c>
      <c r="AH5" s="23">
        <f t="shared" si="16"/>
        <v>39.27879949</v>
      </c>
      <c r="AI5" s="24">
        <f t="shared" si="17"/>
        <v>0.0004625164932</v>
      </c>
      <c r="AJ5" s="25">
        <f t="shared" si="18"/>
        <v>0.001324403729</v>
      </c>
      <c r="AK5" s="25">
        <f t="shared" si="19"/>
        <v>0.001267013245</v>
      </c>
      <c r="AL5" s="23">
        <f t="shared" si="20"/>
        <v>0.9566669263</v>
      </c>
      <c r="AM5" s="23">
        <f t="shared" si="21"/>
        <v>2.739390407</v>
      </c>
      <c r="AN5" s="23">
        <f t="shared" si="22"/>
        <v>0.3284057896</v>
      </c>
      <c r="AO5" s="23">
        <f t="shared" si="23"/>
        <v>0.3234421923</v>
      </c>
      <c r="AP5" s="23">
        <f t="shared" si="24"/>
        <v>0.3137389265</v>
      </c>
      <c r="AQ5" s="21" t="s">
        <v>3</v>
      </c>
      <c r="AR5" s="30">
        <v>822022.0</v>
      </c>
      <c r="AS5" s="30">
        <v>37046.15637276</v>
      </c>
      <c r="AT5" s="30">
        <v>0.43775024534480744</v>
      </c>
      <c r="AU5" s="30">
        <v>0.43692550665066715</v>
      </c>
      <c r="AV5" s="30">
        <v>0.7137689640702651</v>
      </c>
      <c r="AW5" s="30">
        <v>0.10279176355910888</v>
      </c>
      <c r="AX5" s="2">
        <v>0.87</v>
      </c>
      <c r="AY5" s="27">
        <f t="shared" si="25"/>
        <v>1.253486234</v>
      </c>
      <c r="AZ5" s="27">
        <f t="shared" si="26"/>
        <v>10.29059899</v>
      </c>
      <c r="BA5" s="27">
        <f t="shared" si="27"/>
        <v>79880.86997</v>
      </c>
      <c r="BB5" s="27">
        <f t="shared" si="28"/>
        <v>45.06711058</v>
      </c>
      <c r="BC5" s="28">
        <f t="shared" si="29"/>
        <v>0.000532528625</v>
      </c>
      <c r="BD5" s="29">
        <f t="shared" si="30"/>
        <v>0.001524881614</v>
      </c>
      <c r="BE5" s="29">
        <f t="shared" si="31"/>
        <v>0.001058365834</v>
      </c>
      <c r="BF5" s="27">
        <f t="shared" si="32"/>
        <v>0.6940642635</v>
      </c>
      <c r="BG5" s="27">
        <f t="shared" si="33"/>
        <v>1.987434637</v>
      </c>
      <c r="BH5" s="27">
        <f t="shared" si="34"/>
        <v>0.1651859116</v>
      </c>
      <c r="BI5" s="27">
        <f t="shared" si="35"/>
        <v>0.1540751612</v>
      </c>
      <c r="BJ5" s="27">
        <f t="shared" si="36"/>
        <v>0.1340453902</v>
      </c>
      <c r="BK5" s="27"/>
      <c r="BL5" s="27"/>
      <c r="BM5" s="27"/>
    </row>
    <row r="6">
      <c r="A6" s="21" t="s">
        <v>4</v>
      </c>
      <c r="B6" s="30">
        <v>709185.0</v>
      </c>
      <c r="C6" s="30">
        <v>28195.242686923975</v>
      </c>
      <c r="D6" s="30">
        <v>0.44021284937400657</v>
      </c>
      <c r="E6" s="30">
        <v>0.3324698476534282</v>
      </c>
      <c r="F6" s="30">
        <v>0.5375445647575258</v>
      </c>
      <c r="G6" s="30">
        <v>0.07821653127953697</v>
      </c>
      <c r="H6" s="2">
        <v>0.92</v>
      </c>
      <c r="I6" s="23">
        <f t="shared" si="1"/>
        <v>0.9482309437</v>
      </c>
      <c r="J6" s="23">
        <f t="shared" si="2"/>
        <v>7.832011857</v>
      </c>
      <c r="K6" s="23">
        <f t="shared" si="3"/>
        <v>90549.53094</v>
      </c>
      <c r="L6" s="23">
        <f t="shared" si="4"/>
        <v>39.75724626</v>
      </c>
      <c r="M6" s="24">
        <f t="shared" si="5"/>
        <v>0.0006207306265</v>
      </c>
      <c r="N6" s="25">
        <f t="shared" si="6"/>
        <v>0.001337071348</v>
      </c>
      <c r="O6" s="25"/>
      <c r="P6" s="25">
        <f t="shared" si="7"/>
        <v>0.001297263761</v>
      </c>
      <c r="Q6" s="23">
        <f t="shared" si="8"/>
        <v>0.9702277764</v>
      </c>
      <c r="R6" s="23">
        <f t="shared" si="9"/>
        <v>2.089898106</v>
      </c>
      <c r="S6" s="26"/>
      <c r="T6" s="26">
        <f t="shared" si="10"/>
        <v>0.2933889405</v>
      </c>
      <c r="U6" s="23">
        <f t="shared" si="11"/>
        <v>0.2814087859</v>
      </c>
      <c r="V6" s="23">
        <f t="shared" si="12"/>
        <v>0.258896083</v>
      </c>
      <c r="W6" s="21" t="s">
        <v>4</v>
      </c>
      <c r="X6" s="30">
        <v>845761.0</v>
      </c>
      <c r="Y6" s="30">
        <v>26224.147947099966</v>
      </c>
      <c r="Z6" s="30">
        <v>0.30914512713507686</v>
      </c>
      <c r="AA6" s="30">
        <v>0.30929018146257353</v>
      </c>
      <c r="AB6" s="30">
        <v>0.5031749400396258</v>
      </c>
      <c r="AC6" s="30">
        <v>0.07276376272912283</v>
      </c>
      <c r="AD6" s="2">
        <v>0.92</v>
      </c>
      <c r="AE6" s="23">
        <f t="shared" si="13"/>
        <v>0.8852288842</v>
      </c>
      <c r="AF6" s="23">
        <f t="shared" si="14"/>
        <v>7.284485541</v>
      </c>
      <c r="AG6" s="23">
        <f t="shared" si="15"/>
        <v>116104.4243</v>
      </c>
      <c r="AH6" s="23">
        <f t="shared" si="16"/>
        <v>31.00657035</v>
      </c>
      <c r="AI6" s="24">
        <f t="shared" si="17"/>
        <v>0.0003655230344</v>
      </c>
      <c r="AJ6" s="25">
        <f t="shared" si="18"/>
        <v>0.001046665529</v>
      </c>
      <c r="AK6" s="25">
        <f t="shared" si="19"/>
        <v>0.001087777753</v>
      </c>
      <c r="AL6" s="23">
        <f t="shared" si="20"/>
        <v>1.039279238</v>
      </c>
      <c r="AM6" s="23">
        <f t="shared" si="21"/>
        <v>2.975948573</v>
      </c>
      <c r="AN6" s="23">
        <f t="shared" si="22"/>
        <v>0.4811461849</v>
      </c>
      <c r="AO6" s="23">
        <f t="shared" si="23"/>
        <v>0.4614992082</v>
      </c>
      <c r="AP6" s="23">
        <f t="shared" si="24"/>
        <v>0.4245792716</v>
      </c>
      <c r="AQ6" s="21" t="s">
        <v>4</v>
      </c>
      <c r="AR6" s="30">
        <v>903563.0</v>
      </c>
      <c r="AS6" s="30">
        <v>34302.33651404298</v>
      </c>
      <c r="AT6" s="30">
        <v>0.16092414914769662</v>
      </c>
      <c r="AU6" s="30">
        <v>0.40456140247714084</v>
      </c>
      <c r="AV6" s="30">
        <v>0.6600765947275149</v>
      </c>
      <c r="AW6" s="30">
        <v>0.09517716444699723</v>
      </c>
      <c r="AX6" s="2">
        <v>0.8</v>
      </c>
      <c r="AY6" s="27">
        <f t="shared" si="25"/>
        <v>1.159815162</v>
      </c>
      <c r="AZ6" s="27">
        <f t="shared" si="26"/>
        <v>9.528426809</v>
      </c>
      <c r="BA6" s="27">
        <f t="shared" si="27"/>
        <v>94828.1409</v>
      </c>
      <c r="BB6" s="27">
        <f t="shared" si="28"/>
        <v>37.9634143</v>
      </c>
      <c r="BC6" s="28">
        <f t="shared" si="29"/>
        <v>0.0001780995339</v>
      </c>
      <c r="BD6" s="29">
        <f t="shared" si="30"/>
        <v>0.001283601876</v>
      </c>
      <c r="BE6" s="29">
        <f t="shared" si="31"/>
        <v>0.000885383753</v>
      </c>
      <c r="BF6" s="27">
        <f t="shared" si="32"/>
        <v>0.6897650819</v>
      </c>
      <c r="BG6" s="27">
        <f t="shared" si="33"/>
        <v>4.971286188</v>
      </c>
      <c r="BH6" s="27">
        <f t="shared" si="34"/>
        <v>0.5029372326</v>
      </c>
      <c r="BI6" s="27">
        <f t="shared" si="35"/>
        <v>0.4498407362</v>
      </c>
      <c r="BJ6" s="27">
        <f t="shared" si="36"/>
        <v>0.359872589</v>
      </c>
      <c r="BK6" s="27"/>
      <c r="BL6" s="27"/>
      <c r="BM6" s="27"/>
    </row>
    <row r="7">
      <c r="A7" s="21" t="s">
        <v>5</v>
      </c>
      <c r="B7" s="30">
        <v>749202.0</v>
      </c>
      <c r="C7" s="30">
        <v>30824.553304164976</v>
      </c>
      <c r="D7" s="30">
        <v>0.364013404547106</v>
      </c>
      <c r="E7" s="30">
        <v>0.36354880115613797</v>
      </c>
      <c r="F7" s="30">
        <v>0.5932654621119853</v>
      </c>
      <c r="G7" s="30">
        <v>0.08552848021520901</v>
      </c>
      <c r="H7" s="2">
        <v>0.96</v>
      </c>
      <c r="I7" s="23">
        <f t="shared" si="1"/>
        <v>1.042342743</v>
      </c>
      <c r="J7" s="23">
        <f t="shared" si="2"/>
        <v>8.562375918</v>
      </c>
      <c r="K7" s="23">
        <f t="shared" si="3"/>
        <v>87499.31178</v>
      </c>
      <c r="L7" s="23">
        <f t="shared" si="4"/>
        <v>41.14318075</v>
      </c>
      <c r="M7" s="24">
        <f t="shared" si="5"/>
        <v>0.0004858681698</v>
      </c>
      <c r="N7" s="25">
        <f t="shared" si="6"/>
        <v>0.001391270637</v>
      </c>
      <c r="O7" s="25"/>
      <c r="P7" s="25">
        <f t="shared" si="7"/>
        <v>0.001281363371</v>
      </c>
      <c r="Q7" s="23">
        <f t="shared" si="8"/>
        <v>0.9210022385</v>
      </c>
      <c r="R7" s="23">
        <f t="shared" si="9"/>
        <v>2.637265518</v>
      </c>
      <c r="S7" s="26"/>
      <c r="T7" s="26">
        <f t="shared" si="10"/>
        <v>0.3015875448</v>
      </c>
      <c r="U7" s="23">
        <f t="shared" si="11"/>
        <v>0.295494239</v>
      </c>
      <c r="V7" s="23">
        <f t="shared" si="12"/>
        <v>0.2836744695</v>
      </c>
      <c r="W7" s="21" t="s">
        <v>5</v>
      </c>
      <c r="X7" s="30">
        <v>827663.0</v>
      </c>
      <c r="Y7" s="30">
        <v>26891.10384513798</v>
      </c>
      <c r="Z7" s="30">
        <v>0.425741155193637</v>
      </c>
      <c r="AA7" s="30">
        <v>0.3171519667605551</v>
      </c>
      <c r="AB7" s="30">
        <v>0.5125604425480207</v>
      </c>
      <c r="AC7" s="30">
        <v>0.07461326768833057</v>
      </c>
      <c r="AD7" s="2">
        <v>0.94</v>
      </c>
      <c r="AE7" s="23">
        <f t="shared" si="13"/>
        <v>0.904325677</v>
      </c>
      <c r="AF7" s="23">
        <f t="shared" si="14"/>
        <v>7.469751068</v>
      </c>
      <c r="AG7" s="23">
        <f t="shared" si="15"/>
        <v>110801.9521</v>
      </c>
      <c r="AH7" s="23">
        <f t="shared" si="16"/>
        <v>32.49040231</v>
      </c>
      <c r="AI7" s="24">
        <f t="shared" si="17"/>
        <v>0.0005143894981</v>
      </c>
      <c r="AJ7" s="25">
        <f t="shared" si="18"/>
        <v>0.001092625473</v>
      </c>
      <c r="AK7" s="25">
        <f t="shared" si="19"/>
        <v>0.001135727947</v>
      </c>
      <c r="AL7" s="23">
        <f t="shared" si="20"/>
        <v>1.039448535</v>
      </c>
      <c r="AM7" s="23">
        <f t="shared" si="21"/>
        <v>2.207914336</v>
      </c>
      <c r="AN7" s="23">
        <f t="shared" si="22"/>
        <v>0.3371221604</v>
      </c>
      <c r="AO7" s="23">
        <f t="shared" si="23"/>
        <v>0.3268520613</v>
      </c>
      <c r="AP7" s="23">
        <f t="shared" si="24"/>
        <v>0.3072409376</v>
      </c>
      <c r="AQ7" s="21" t="s">
        <v>5</v>
      </c>
      <c r="AR7" s="30">
        <v>869559.0</v>
      </c>
      <c r="AS7" s="30">
        <v>31515.79707541298</v>
      </c>
      <c r="AT7" s="30">
        <v>0.37195599423787834</v>
      </c>
      <c r="AU7" s="30">
        <v>0.37169363237341174</v>
      </c>
      <c r="AV7" s="30">
        <v>0.6059475772576697</v>
      </c>
      <c r="AW7" s="30">
        <v>0.08744492908227876</v>
      </c>
      <c r="AX7" s="2">
        <v>0.82</v>
      </c>
      <c r="AY7" s="27">
        <f t="shared" si="25"/>
        <v>1.065086139</v>
      </c>
      <c r="AZ7" s="27">
        <f t="shared" si="26"/>
        <v>8.754388077</v>
      </c>
      <c r="BA7" s="27">
        <f t="shared" si="27"/>
        <v>99328.35881</v>
      </c>
      <c r="BB7" s="27">
        <f t="shared" si="28"/>
        <v>36.24342578</v>
      </c>
      <c r="BC7" s="28">
        <f t="shared" si="29"/>
        <v>0.0004277524518</v>
      </c>
      <c r="BD7" s="29">
        <f t="shared" si="30"/>
        <v>0.001224857817</v>
      </c>
      <c r="BE7" s="29">
        <f t="shared" si="31"/>
        <v>0.0009430067425</v>
      </c>
      <c r="BF7" s="27">
        <f t="shared" si="32"/>
        <v>0.7698907818</v>
      </c>
      <c r="BG7" s="27">
        <f t="shared" si="33"/>
        <v>2.204561864</v>
      </c>
      <c r="BH7" s="27">
        <f t="shared" si="34"/>
        <v>0.2610987766</v>
      </c>
      <c r="BI7" s="27">
        <f t="shared" si="35"/>
        <v>0.2364349981</v>
      </c>
      <c r="BJ7" s="27">
        <f t="shared" si="36"/>
        <v>0.1938766984</v>
      </c>
      <c r="BK7" s="27"/>
      <c r="BL7" s="27"/>
      <c r="BM7" s="27"/>
    </row>
    <row r="8">
      <c r="A8" s="21" t="s">
        <v>7</v>
      </c>
      <c r="B8" s="30">
        <v>2116282.0</v>
      </c>
      <c r="C8" s="30">
        <v>85152.25643388089</v>
      </c>
      <c r="D8" s="30">
        <v>0.3996097990473564</v>
      </c>
      <c r="E8" s="30">
        <v>1.0042464206502537</v>
      </c>
      <c r="F8" s="30">
        <v>1.639569553043479</v>
      </c>
      <c r="G8" s="30">
        <v>0.23625831058482172</v>
      </c>
      <c r="H8" s="2">
        <v>0.94</v>
      </c>
      <c r="I8" s="23">
        <f t="shared" si="1"/>
        <v>2.880074284</v>
      </c>
      <c r="J8" s="23">
        <f t="shared" si="2"/>
        <v>23.65340456</v>
      </c>
      <c r="K8" s="23">
        <f t="shared" si="3"/>
        <v>89470.50283</v>
      </c>
      <c r="L8" s="23">
        <f t="shared" si="4"/>
        <v>40.2367248</v>
      </c>
      <c r="M8" s="24">
        <f t="shared" si="5"/>
        <v>0.0001888263469</v>
      </c>
      <c r="N8" s="25">
        <f t="shared" si="6"/>
        <v>0.001360912338</v>
      </c>
      <c r="O8" s="25"/>
      <c r="P8" s="25">
        <f t="shared" si="7"/>
        <v>0.0004441752092</v>
      </c>
      <c r="Q8" s="23">
        <f t="shared" si="8"/>
        <v>0.3263804705</v>
      </c>
      <c r="R8" s="23">
        <f t="shared" si="9"/>
        <v>2.352294669</v>
      </c>
      <c r="S8" s="26"/>
      <c r="T8" s="26">
        <f t="shared" si="10"/>
        <v>0.03561479494</v>
      </c>
      <c r="U8" s="23">
        <f t="shared" si="11"/>
        <v>0.03452982481</v>
      </c>
      <c r="V8" s="23">
        <f t="shared" si="12"/>
        <v>0.03245803532</v>
      </c>
      <c r="W8" s="21" t="s">
        <v>7</v>
      </c>
      <c r="X8" s="30">
        <v>2500204.0</v>
      </c>
      <c r="Y8" s="30">
        <v>85430.68367196</v>
      </c>
      <c r="Z8" s="30">
        <v>1.0096996515007288</v>
      </c>
      <c r="AA8" s="30">
        <v>1.0075300869571473</v>
      </c>
      <c r="AB8" s="30">
        <v>1.646688114571657</v>
      </c>
      <c r="AC8" s="30">
        <v>0.23703000991787096</v>
      </c>
      <c r="AD8" s="2">
        <v>0.96</v>
      </c>
      <c r="AE8" s="23">
        <f t="shared" si="13"/>
        <v>2.891248211</v>
      </c>
      <c r="AF8" s="23">
        <f t="shared" si="14"/>
        <v>23.73074546</v>
      </c>
      <c r="AG8" s="23">
        <f t="shared" si="15"/>
        <v>105357.1622</v>
      </c>
      <c r="AH8" s="23">
        <f t="shared" si="16"/>
        <v>34.16948524</v>
      </c>
      <c r="AI8" s="24">
        <f t="shared" si="17"/>
        <v>0.0004038469067</v>
      </c>
      <c r="AJ8" s="25">
        <f t="shared" si="18"/>
        <v>0.001156404922</v>
      </c>
      <c r="AK8" s="25">
        <f t="shared" si="19"/>
        <v>0.0003839686682</v>
      </c>
      <c r="AL8" s="23">
        <f t="shared" si="20"/>
        <v>0.3320365219</v>
      </c>
      <c r="AM8" s="23">
        <f t="shared" si="21"/>
        <v>0.9507777868</v>
      </c>
      <c r="AN8" s="23">
        <f t="shared" si="22"/>
        <v>0.01414316643</v>
      </c>
      <c r="AO8" s="23">
        <f t="shared" si="23"/>
        <v>0.01385741644</v>
      </c>
      <c r="AP8" s="23">
        <f t="shared" si="24"/>
        <v>0.01330311978</v>
      </c>
      <c r="AQ8" s="21" t="s">
        <v>7</v>
      </c>
      <c r="AR8" s="30">
        <v>2591896.0</v>
      </c>
      <c r="AS8" s="30">
        <v>98555.61644564381</v>
      </c>
      <c r="AT8" s="30">
        <v>0.46770039571553695</v>
      </c>
      <c r="AU8" s="30">
        <v>1.1623435267813842</v>
      </c>
      <c r="AV8" s="30">
        <v>1.8997816989908076</v>
      </c>
      <c r="AW8" s="30">
        <v>0.2734529237762731</v>
      </c>
      <c r="AX8" s="2">
        <v>0.75</v>
      </c>
      <c r="AY8" s="27">
        <f t="shared" si="25"/>
        <v>3.33557815</v>
      </c>
      <c r="AZ8" s="27">
        <f t="shared" si="26"/>
        <v>27.37656012</v>
      </c>
      <c r="BA8" s="27">
        <f t="shared" si="27"/>
        <v>94675.73677</v>
      </c>
      <c r="BB8" s="27">
        <f t="shared" si="28"/>
        <v>38.02452585</v>
      </c>
      <c r="BC8" s="28">
        <f t="shared" si="29"/>
        <v>0.0001804472076</v>
      </c>
      <c r="BD8" s="29">
        <f t="shared" si="30"/>
        <v>0.001286925922</v>
      </c>
      <c r="BE8" s="29">
        <f t="shared" si="31"/>
        <v>0.0002893634621</v>
      </c>
      <c r="BF8" s="27">
        <f t="shared" si="32"/>
        <v>0.2248485769</v>
      </c>
      <c r="BG8" s="27">
        <f t="shared" si="33"/>
        <v>1.603590689</v>
      </c>
      <c r="BH8" s="27">
        <f t="shared" si="34"/>
        <v>0.02027742931</v>
      </c>
      <c r="BI8" s="27">
        <f t="shared" si="35"/>
        <v>0.01756076891</v>
      </c>
      <c r="BJ8" s="27">
        <f t="shared" si="36"/>
        <v>0.01317057668</v>
      </c>
      <c r="BK8" s="27"/>
      <c r="BL8" s="27"/>
      <c r="BM8" s="27"/>
    </row>
    <row r="9">
      <c r="A9" s="21" t="s">
        <v>6</v>
      </c>
      <c r="B9" s="22">
        <v>708555.0</v>
      </c>
      <c r="C9" s="22">
        <v>29278.37</v>
      </c>
      <c r="D9" s="22">
        <v>0.463803476</v>
      </c>
      <c r="E9" s="22">
        <v>0.3453152604</v>
      </c>
      <c r="F9" s="22">
        <v>0.5586205002</v>
      </c>
      <c r="G9" s="22">
        <v>0.08123888673</v>
      </c>
      <c r="H9" s="2">
        <v>0.98</v>
      </c>
      <c r="I9" s="23">
        <f t="shared" si="1"/>
        <v>0.9851746473</v>
      </c>
      <c r="J9" s="23">
        <f t="shared" si="2"/>
        <v>8.132880556</v>
      </c>
      <c r="K9" s="23">
        <f t="shared" si="3"/>
        <v>87122.26808</v>
      </c>
      <c r="L9" s="23">
        <f t="shared" si="4"/>
        <v>41.32123829</v>
      </c>
      <c r="M9" s="24">
        <f t="shared" si="5"/>
        <v>0.0006545765339</v>
      </c>
      <c r="N9" s="25">
        <f t="shared" si="6"/>
        <v>0.001390399683</v>
      </c>
      <c r="O9" s="25"/>
      <c r="P9" s="25">
        <f t="shared" si="7"/>
        <v>0.001383096584</v>
      </c>
      <c r="Q9" s="23">
        <f t="shared" si="8"/>
        <v>0.9947474822</v>
      </c>
      <c r="R9" s="23">
        <f t="shared" si="9"/>
        <v>2.112963897</v>
      </c>
      <c r="S9" s="26"/>
      <c r="T9" s="26">
        <f t="shared" si="10"/>
        <v>0.2663921467</v>
      </c>
      <c r="U9" s="23">
        <f t="shared" si="11"/>
        <v>0.2637147707</v>
      </c>
      <c r="V9" s="23">
        <f t="shared" si="12"/>
        <v>0.2584404753</v>
      </c>
      <c r="W9" s="21" t="s">
        <v>6</v>
      </c>
      <c r="X9" s="22">
        <v>844109.0</v>
      </c>
      <c r="Y9" s="22">
        <v>31251.42</v>
      </c>
      <c r="Z9" s="22">
        <v>0.3831694155</v>
      </c>
      <c r="AA9" s="22">
        <v>0.3685603034</v>
      </c>
      <c r="AB9" s="22">
        <v>0.5950123155</v>
      </c>
      <c r="AC9" s="22">
        <v>0.08670749966</v>
      </c>
      <c r="AD9" s="2">
        <v>0.96</v>
      </c>
      <c r="AE9" s="23">
        <f t="shared" si="13"/>
        <v>1.050280119</v>
      </c>
      <c r="AF9" s="23">
        <f t="shared" si="14"/>
        <v>8.68095</v>
      </c>
      <c r="AG9" s="23">
        <f t="shared" si="15"/>
        <v>97236.93835</v>
      </c>
      <c r="AH9" s="23">
        <f t="shared" si="16"/>
        <v>37.02296741</v>
      </c>
      <c r="AI9" s="24">
        <f t="shared" si="17"/>
        <v>0.0004539335743</v>
      </c>
      <c r="AJ9" s="25">
        <f t="shared" si="18"/>
        <v>0.001244247033</v>
      </c>
      <c r="AK9" s="25">
        <f t="shared" si="19"/>
        <v>0.00113729388</v>
      </c>
      <c r="AL9" s="23">
        <f t="shared" si="20"/>
        <v>0.9140418666</v>
      </c>
      <c r="AM9" s="23">
        <f t="shared" si="21"/>
        <v>2.505419173</v>
      </c>
      <c r="AN9" s="23">
        <f t="shared" si="22"/>
        <v>0.280460937</v>
      </c>
      <c r="AO9" s="23">
        <f t="shared" si="23"/>
        <v>0.2747944754</v>
      </c>
      <c r="AP9" s="23">
        <f t="shared" si="24"/>
        <v>0.2638026964</v>
      </c>
      <c r="AQ9" s="21" t="s">
        <v>6</v>
      </c>
      <c r="AR9" s="22">
        <v>957762.0</v>
      </c>
      <c r="AS9" s="22">
        <v>42153.72</v>
      </c>
      <c r="AT9" s="22">
        <v>0.6469672831</v>
      </c>
      <c r="AU9" s="22">
        <v>0.4971574052</v>
      </c>
      <c r="AV9" s="22">
        <v>0.8064253535</v>
      </c>
      <c r="AW9" s="22">
        <v>0.1169611322</v>
      </c>
      <c r="AX9" s="2">
        <v>0.91</v>
      </c>
      <c r="AY9" s="27">
        <f t="shared" si="25"/>
        <v>1.420543891</v>
      </c>
      <c r="AZ9" s="27">
        <f t="shared" si="26"/>
        <v>11.70936667</v>
      </c>
      <c r="BA9" s="27">
        <f t="shared" si="27"/>
        <v>81794.51778</v>
      </c>
      <c r="BB9" s="27">
        <f t="shared" si="28"/>
        <v>44.01272968</v>
      </c>
      <c r="BC9" s="28">
        <f t="shared" si="29"/>
        <v>0.0006754990103</v>
      </c>
      <c r="BD9" s="29">
        <f t="shared" si="30"/>
        <v>0.001483190908</v>
      </c>
      <c r="BE9" s="29">
        <f t="shared" si="31"/>
        <v>0.0009501316611</v>
      </c>
      <c r="BF9" s="27">
        <f t="shared" si="32"/>
        <v>0.6405997068</v>
      </c>
      <c r="BG9" s="27">
        <f t="shared" si="33"/>
        <v>1.406562625</v>
      </c>
      <c r="BH9" s="27">
        <f t="shared" si="34"/>
        <v>0.08864419789</v>
      </c>
      <c r="BI9" s="27">
        <f t="shared" si="35"/>
        <v>0.08456117534</v>
      </c>
      <c r="BJ9" s="27">
        <f t="shared" si="36"/>
        <v>0.07695066956</v>
      </c>
      <c r="BK9" s="27"/>
      <c r="BL9" s="27"/>
      <c r="BM9" s="27"/>
    </row>
    <row r="10">
      <c r="A10" s="31"/>
      <c r="B10" s="31"/>
      <c r="C10" s="31"/>
      <c r="D10" s="31"/>
      <c r="E10" s="31"/>
      <c r="F10" s="31"/>
      <c r="G10" s="31"/>
      <c r="H10" s="31"/>
      <c r="I10" s="32"/>
      <c r="J10" s="32"/>
      <c r="K10" s="32"/>
      <c r="L10" s="32"/>
      <c r="M10" s="33"/>
      <c r="N10" s="34"/>
      <c r="O10" s="34"/>
      <c r="P10" s="34"/>
      <c r="Q10" s="32"/>
      <c r="R10" s="32"/>
      <c r="S10" s="32"/>
      <c r="T10" s="32"/>
      <c r="U10" s="32"/>
      <c r="V10" s="32"/>
      <c r="W10" s="31"/>
      <c r="X10" s="31"/>
      <c r="Y10" s="31"/>
      <c r="Z10" s="31"/>
      <c r="AA10" s="31"/>
      <c r="AB10" s="31"/>
      <c r="AC10" s="31"/>
      <c r="AD10" s="31"/>
      <c r="AE10" s="32"/>
      <c r="AF10" s="32"/>
      <c r="AG10" s="32"/>
      <c r="AH10" s="32"/>
      <c r="AI10" s="33"/>
      <c r="AJ10" s="34"/>
      <c r="AK10" s="34"/>
      <c r="AL10" s="32"/>
      <c r="AM10" s="32"/>
      <c r="AN10" s="32"/>
      <c r="AO10" s="32"/>
      <c r="AP10" s="32"/>
      <c r="AQ10" s="31"/>
      <c r="AR10" s="31"/>
      <c r="AS10" s="31"/>
      <c r="AT10" s="31"/>
      <c r="AU10" s="31"/>
      <c r="AV10" s="31"/>
      <c r="AW10" s="31"/>
      <c r="AX10" s="31"/>
      <c r="AY10" s="32"/>
      <c r="AZ10" s="32"/>
      <c r="BA10" s="32"/>
      <c r="BB10" s="32"/>
      <c r="BC10" s="33"/>
      <c r="BD10" s="34"/>
      <c r="BE10" s="34"/>
      <c r="BF10" s="32"/>
      <c r="BG10" s="32"/>
      <c r="BH10" s="32"/>
      <c r="BI10" s="32"/>
      <c r="BJ10" s="32"/>
      <c r="BK10" s="32"/>
      <c r="BL10" s="32"/>
      <c r="BM10" s="32"/>
    </row>
    <row r="11">
      <c r="B11" s="35" t="s">
        <v>30</v>
      </c>
      <c r="G11" s="35" t="s">
        <v>31</v>
      </c>
      <c r="J11" s="27"/>
      <c r="L11" s="35" t="s">
        <v>21</v>
      </c>
      <c r="O11" s="35"/>
      <c r="P11" s="35" t="s">
        <v>23</v>
      </c>
      <c r="S11" s="36"/>
      <c r="T11" s="36" t="s">
        <v>22</v>
      </c>
      <c r="W11" s="36"/>
      <c r="X11" s="36" t="s">
        <v>24</v>
      </c>
      <c r="AA11" s="36"/>
      <c r="AB11" s="36" t="s">
        <v>25</v>
      </c>
      <c r="AE11" s="36"/>
      <c r="AF11" s="36" t="s">
        <v>26</v>
      </c>
      <c r="AI11" s="36"/>
      <c r="AJ11" s="36" t="s">
        <v>27</v>
      </c>
      <c r="AM11" s="36"/>
      <c r="AN11" s="36" t="s">
        <v>28</v>
      </c>
      <c r="AQ11" s="36"/>
      <c r="AR11" s="36" t="s">
        <v>29</v>
      </c>
      <c r="AW11" s="35" t="s">
        <v>20</v>
      </c>
      <c r="AZ11" s="27"/>
      <c r="BB11" s="35" t="s">
        <v>8</v>
      </c>
      <c r="BE11" s="29"/>
      <c r="BG11" s="35" t="s">
        <v>9</v>
      </c>
      <c r="BK11" s="35" t="s">
        <v>10</v>
      </c>
      <c r="BM11" s="35"/>
    </row>
    <row r="12">
      <c r="B12" s="37" t="s">
        <v>8</v>
      </c>
      <c r="C12" s="37" t="s">
        <v>9</v>
      </c>
      <c r="D12" s="37" t="s">
        <v>10</v>
      </c>
      <c r="G12" s="37" t="s">
        <v>8</v>
      </c>
      <c r="H12" s="37" t="s">
        <v>9</v>
      </c>
      <c r="I12" s="37" t="s">
        <v>10</v>
      </c>
      <c r="J12" s="27"/>
      <c r="L12" s="37" t="s">
        <v>8</v>
      </c>
      <c r="M12" s="37" t="s">
        <v>9</v>
      </c>
      <c r="N12" s="37" t="s">
        <v>10</v>
      </c>
      <c r="O12" s="37"/>
      <c r="P12" s="37" t="s">
        <v>8</v>
      </c>
      <c r="Q12" s="37" t="s">
        <v>9</v>
      </c>
      <c r="R12" s="37" t="s">
        <v>10</v>
      </c>
      <c r="S12" s="37"/>
      <c r="T12" s="37" t="s">
        <v>8</v>
      </c>
      <c r="U12" s="37" t="s">
        <v>9</v>
      </c>
      <c r="V12" s="37" t="s">
        <v>10</v>
      </c>
      <c r="W12" s="37"/>
      <c r="X12" s="37" t="s">
        <v>8</v>
      </c>
      <c r="Y12" s="37" t="s">
        <v>9</v>
      </c>
      <c r="Z12" s="37" t="s">
        <v>10</v>
      </c>
      <c r="AA12" s="37"/>
      <c r="AB12" s="37" t="s">
        <v>8</v>
      </c>
      <c r="AC12" s="37" t="s">
        <v>9</v>
      </c>
      <c r="AD12" s="37" t="s">
        <v>10</v>
      </c>
      <c r="AE12" s="37"/>
      <c r="AF12" s="37" t="s">
        <v>8</v>
      </c>
      <c r="AG12" s="37" t="s">
        <v>9</v>
      </c>
      <c r="AH12" s="37" t="s">
        <v>10</v>
      </c>
      <c r="AI12" s="37"/>
      <c r="AJ12" s="37" t="s">
        <v>8</v>
      </c>
      <c r="AK12" s="37" t="s">
        <v>9</v>
      </c>
      <c r="AL12" s="37" t="s">
        <v>10</v>
      </c>
      <c r="AM12" s="37"/>
      <c r="AN12" s="37" t="s">
        <v>8</v>
      </c>
      <c r="AO12" s="37" t="s">
        <v>9</v>
      </c>
      <c r="AP12" s="37" t="s">
        <v>10</v>
      </c>
      <c r="AQ12" s="37"/>
      <c r="AR12" s="37" t="s">
        <v>8</v>
      </c>
      <c r="AS12" s="37" t="s">
        <v>9</v>
      </c>
      <c r="AT12" s="37" t="s">
        <v>10</v>
      </c>
      <c r="AW12" s="37" t="s">
        <v>8</v>
      </c>
      <c r="AX12" s="37" t="s">
        <v>9</v>
      </c>
      <c r="AY12" s="37" t="s">
        <v>10</v>
      </c>
      <c r="AZ12" s="27"/>
      <c r="BB12" s="14" t="s">
        <v>27</v>
      </c>
      <c r="BC12" s="14" t="s">
        <v>28</v>
      </c>
      <c r="BD12" s="14" t="s">
        <v>29</v>
      </c>
      <c r="BE12" s="29"/>
      <c r="BG12" s="14" t="s">
        <v>27</v>
      </c>
      <c r="BH12" s="14" t="s">
        <v>28</v>
      </c>
      <c r="BI12" s="14" t="s">
        <v>29</v>
      </c>
      <c r="BK12" s="14" t="s">
        <v>27</v>
      </c>
      <c r="BL12" s="14" t="s">
        <v>28</v>
      </c>
      <c r="BM12" s="14" t="s">
        <v>29</v>
      </c>
    </row>
    <row r="13">
      <c r="A13" s="21" t="s">
        <v>1</v>
      </c>
      <c r="B13" s="13">
        <v>7.443938888888889</v>
      </c>
      <c r="C13" s="13">
        <v>9.299775</v>
      </c>
      <c r="D13" s="27">
        <v>10.188366666666667</v>
      </c>
      <c r="F13" s="21" t="s">
        <v>1</v>
      </c>
      <c r="G13" s="13">
        <v>0.8879371184</v>
      </c>
      <c r="H13" s="13">
        <v>1.12879192208</v>
      </c>
      <c r="I13" s="27">
        <v>1.2412146064</v>
      </c>
      <c r="J13" s="27"/>
      <c r="K13" s="21" t="s">
        <v>1</v>
      </c>
      <c r="L13" s="13">
        <v>47.80924243965011</v>
      </c>
      <c r="M13" s="13">
        <v>62.00837540793535</v>
      </c>
      <c r="N13" s="27">
        <v>56.93291567970644</v>
      </c>
      <c r="O13" s="21" t="s">
        <v>1</v>
      </c>
      <c r="P13" s="38">
        <v>0.0015841225398422545</v>
      </c>
      <c r="Q13" s="38">
        <v>0.0020906883727408437</v>
      </c>
      <c r="R13" s="29">
        <v>0.0019266518165759648</v>
      </c>
      <c r="S13" s="21" t="s">
        <v>1</v>
      </c>
      <c r="T13" s="39">
        <v>5.532171088429913E-4</v>
      </c>
      <c r="U13" s="39">
        <v>7.301231740610541E-4</v>
      </c>
      <c r="V13" s="28">
        <v>2.6732259970755967E-4</v>
      </c>
      <c r="W13" s="21" t="s">
        <v>1</v>
      </c>
      <c r="X13" s="38">
        <v>0.0015699623387443512</v>
      </c>
      <c r="Y13" s="38">
        <v>0.0015002389269402163</v>
      </c>
      <c r="Z13" s="29">
        <v>0.0013193963684003018</v>
      </c>
      <c r="AA13" s="21" t="s">
        <v>1</v>
      </c>
      <c r="AB13" s="13">
        <v>0.9910611706217416</v>
      </c>
      <c r="AC13" s="13">
        <v>0.7175813222577203</v>
      </c>
      <c r="AD13" s="27">
        <v>0.6848130819740569</v>
      </c>
      <c r="AE13" s="21" t="s">
        <v>1</v>
      </c>
      <c r="AF13" s="13">
        <v>2.8378774149407637</v>
      </c>
      <c r="AG13" s="13">
        <v>2.054775112253544</v>
      </c>
      <c r="AH13" s="27">
        <v>4.935596054518657</v>
      </c>
      <c r="AI13" s="21" t="s">
        <v>1</v>
      </c>
      <c r="AJ13" s="13">
        <v>0.45768563875257795</v>
      </c>
      <c r="AK13" s="27">
        <v>0.2174880769761169</v>
      </c>
      <c r="AL13" s="27">
        <v>0.4233296637195459</v>
      </c>
      <c r="AM13" s="21" t="s">
        <v>1</v>
      </c>
      <c r="AN13" s="13">
        <v>0.4293471866099889</v>
      </c>
      <c r="AO13" s="13">
        <v>0.19573926927850524</v>
      </c>
      <c r="AP13" s="27">
        <v>0.3902906654753201</v>
      </c>
      <c r="AQ13" s="21" t="s">
        <v>1</v>
      </c>
      <c r="AR13" s="13">
        <v>0.3778255242167902</v>
      </c>
      <c r="AS13" s="13">
        <v>0.15854880811558927</v>
      </c>
      <c r="AT13" s="27">
        <v>0.33174706565402207</v>
      </c>
      <c r="AV13" s="21" t="s">
        <v>1</v>
      </c>
      <c r="AW13" s="13">
        <v>75299.24793400148</v>
      </c>
      <c r="AX13" s="13">
        <v>58056.67341414173</v>
      </c>
      <c r="AY13" s="27">
        <v>63232.31397901528</v>
      </c>
      <c r="AZ13" s="27"/>
      <c r="BA13" s="21" t="s">
        <v>1</v>
      </c>
      <c r="BB13" s="13">
        <v>0.45768563875257795</v>
      </c>
      <c r="BC13" s="13">
        <v>0.4293471866099889</v>
      </c>
      <c r="BD13" s="13">
        <v>0.3778255242167902</v>
      </c>
      <c r="BE13" s="29"/>
      <c r="BF13" s="21" t="s">
        <v>1</v>
      </c>
      <c r="BG13" s="27">
        <v>0.2174880769761169</v>
      </c>
      <c r="BH13" s="13">
        <v>0.19573926927850524</v>
      </c>
      <c r="BI13" s="13">
        <v>0.15854880811558927</v>
      </c>
      <c r="BJ13" s="21" t="s">
        <v>1</v>
      </c>
      <c r="BK13" s="27">
        <v>0.4233296637195459</v>
      </c>
      <c r="BL13" s="27">
        <v>0.3902906654753201</v>
      </c>
      <c r="BM13" s="27">
        <v>0.33174706565402207</v>
      </c>
    </row>
    <row r="14">
      <c r="A14" s="21" t="s">
        <v>2</v>
      </c>
      <c r="B14" s="13">
        <v>7.1679305555555555</v>
      </c>
      <c r="C14" s="13">
        <v>6.6916166666666665</v>
      </c>
      <c r="D14" s="27">
        <v>9.274625</v>
      </c>
      <c r="F14" s="21" t="s">
        <v>2</v>
      </c>
      <c r="G14" s="13">
        <v>0.86824036391</v>
      </c>
      <c r="H14" s="13">
        <v>0.8084632145399999</v>
      </c>
      <c r="I14" s="27">
        <v>1.12243167305</v>
      </c>
      <c r="J14" s="27"/>
      <c r="K14" s="21" t="s">
        <v>2</v>
      </c>
      <c r="L14" s="13">
        <v>29.572907283508332</v>
      </c>
      <c r="M14" s="13">
        <v>35.81468993077856</v>
      </c>
      <c r="N14" s="27">
        <v>36.839884014220175</v>
      </c>
      <c r="O14" s="21" t="s">
        <v>2</v>
      </c>
      <c r="P14" s="38">
        <v>9.950335030725187E-4</v>
      </c>
      <c r="Q14" s="38">
        <v>0.001201954159441233</v>
      </c>
      <c r="R14" s="29">
        <v>0.0012384523677671634</v>
      </c>
      <c r="S14" s="21" t="s">
        <v>2</v>
      </c>
      <c r="T14" s="39">
        <v>3.474917778893252E-4</v>
      </c>
      <c r="U14" s="39">
        <v>5.658595849984538E-4</v>
      </c>
      <c r="V14" s="28">
        <v>5.830423211279043E-4</v>
      </c>
      <c r="W14" s="21" t="s">
        <v>2</v>
      </c>
      <c r="X14" s="38">
        <v>0.001111653567491124</v>
      </c>
      <c r="Y14" s="38">
        <v>0.0014569804229406028</v>
      </c>
      <c r="Z14" s="29">
        <v>0.0010150962465712917</v>
      </c>
      <c r="AA14" s="21" t="s">
        <v>2</v>
      </c>
      <c r="AB14" s="13">
        <v>1.1172021485291694</v>
      </c>
      <c r="AC14" s="13">
        <v>1.2121763642116992</v>
      </c>
      <c r="AD14" s="27">
        <v>0.8196490014399457</v>
      </c>
      <c r="AE14" s="21" t="s">
        <v>2</v>
      </c>
      <c r="AF14" s="13">
        <v>3.19907876452024</v>
      </c>
      <c r="AG14" s="13">
        <v>2.5748091250315817</v>
      </c>
      <c r="AH14" s="27">
        <v>1.7410335575770428</v>
      </c>
      <c r="AI14" s="21" t="s">
        <v>2</v>
      </c>
      <c r="AJ14" s="13">
        <v>0.5219216407971842</v>
      </c>
      <c r="AK14" s="27">
        <v>0.48077367924493725</v>
      </c>
      <c r="AL14" s="27">
        <v>0.17436405334368715</v>
      </c>
      <c r="AM14" s="21" t="s">
        <v>2</v>
      </c>
      <c r="AN14" s="13">
        <v>0.5140332023891572</v>
      </c>
      <c r="AO14" s="13">
        <v>0.47594166033414165</v>
      </c>
      <c r="AP14" s="27">
        <v>0.1672441247116471</v>
      </c>
      <c r="AQ14" s="21" t="s">
        <v>2</v>
      </c>
      <c r="AR14" s="13">
        <v>0.49861220631748243</v>
      </c>
      <c r="AS14" s="13">
        <v>0.4664228271274588</v>
      </c>
      <c r="AT14" s="27">
        <v>0.1538645947347153</v>
      </c>
      <c r="AV14" s="21" t="s">
        <v>2</v>
      </c>
      <c r="AW14" s="13">
        <v>121733.04320362107</v>
      </c>
      <c r="AX14" s="13">
        <v>100517.41357967806</v>
      </c>
      <c r="AY14" s="27">
        <v>97720.17736566169</v>
      </c>
      <c r="AZ14" s="27"/>
      <c r="BA14" s="21" t="s">
        <v>2</v>
      </c>
      <c r="BB14" s="13">
        <v>0.5219216407971842</v>
      </c>
      <c r="BC14" s="13">
        <v>0.5140332023891572</v>
      </c>
      <c r="BD14" s="13">
        <v>0.49861220631748243</v>
      </c>
      <c r="BE14" s="29"/>
      <c r="BF14" s="21" t="s">
        <v>2</v>
      </c>
      <c r="BG14" s="27">
        <v>0.48077367924493725</v>
      </c>
      <c r="BH14" s="13">
        <v>0.47594166033414165</v>
      </c>
      <c r="BI14" s="13">
        <v>0.4664228271274588</v>
      </c>
      <c r="BJ14" s="21" t="s">
        <v>2</v>
      </c>
      <c r="BK14" s="27">
        <v>0.17436405334368715</v>
      </c>
      <c r="BL14" s="27">
        <v>0.1672441247116471</v>
      </c>
      <c r="BM14" s="27">
        <v>0.1538645947347153</v>
      </c>
    </row>
    <row r="15">
      <c r="A15" s="21" t="s">
        <v>3</v>
      </c>
      <c r="B15" s="13">
        <v>8.353073143076939</v>
      </c>
      <c r="C15" s="13">
        <v>7.85456685995083</v>
      </c>
      <c r="D15" s="27">
        <v>10.290598992433333</v>
      </c>
      <c r="F15" s="21" t="s">
        <v>3</v>
      </c>
      <c r="G15" s="13">
        <v>1.0139370070270084</v>
      </c>
      <c r="H15" s="13">
        <v>0.9521205385556172</v>
      </c>
      <c r="I15" s="27">
        <v>1.2534862342800412</v>
      </c>
      <c r="J15" s="27"/>
      <c r="K15" s="21" t="s">
        <v>3</v>
      </c>
      <c r="L15" s="13">
        <v>39.278799491989055</v>
      </c>
      <c r="M15" s="13">
        <v>45.923217849007585</v>
      </c>
      <c r="N15" s="27">
        <v>45.06711057947354</v>
      </c>
      <c r="O15" s="21" t="s">
        <v>3</v>
      </c>
      <c r="P15" s="38">
        <v>0.0013244037292340558</v>
      </c>
      <c r="Q15" s="38">
        <v>0.0015463204644799243</v>
      </c>
      <c r="R15" s="29">
        <v>0.001524881614214755</v>
      </c>
      <c r="S15" s="21" t="s">
        <v>3</v>
      </c>
      <c r="T15" s="39">
        <v>4.6251649324316566E-4</v>
      </c>
      <c r="U15" s="39">
        <v>7.224117054642162E-4</v>
      </c>
      <c r="V15" s="28">
        <v>5.32528624957492E-4</v>
      </c>
      <c r="W15" s="21" t="s">
        <v>3</v>
      </c>
      <c r="X15" s="38">
        <v>0.0012670132448601061</v>
      </c>
      <c r="Y15" s="38">
        <v>0.0015266357333454598</v>
      </c>
      <c r="Z15" s="29">
        <v>0.0010583658344910478</v>
      </c>
      <c r="AA15" s="21" t="s">
        <v>3</v>
      </c>
      <c r="AB15" s="13">
        <v>0.9566669263252978</v>
      </c>
      <c r="AC15" s="13">
        <v>0.9872699536825408</v>
      </c>
      <c r="AD15" s="27">
        <v>0.6940642634976344</v>
      </c>
      <c r="AE15" s="21" t="s">
        <v>3</v>
      </c>
      <c r="AF15" s="13">
        <v>2.7393904074118725</v>
      </c>
      <c r="AG15" s="13">
        <v>2.1132488881315337</v>
      </c>
      <c r="AH15" s="27">
        <v>1.987434637106183</v>
      </c>
      <c r="AI15" s="21" t="s">
        <v>3</v>
      </c>
      <c r="AJ15" s="13">
        <v>0.32840578958417005</v>
      </c>
      <c r="AK15" s="27">
        <v>0.29145569641031155</v>
      </c>
      <c r="AL15" s="27">
        <v>0.16518591161381302</v>
      </c>
      <c r="AM15" s="21" t="s">
        <v>3</v>
      </c>
      <c r="AN15" s="13">
        <v>0.3234421922901063</v>
      </c>
      <c r="AO15" s="13">
        <v>0.2825767817635032</v>
      </c>
      <c r="AP15" s="27">
        <v>0.154075161185206</v>
      </c>
      <c r="AQ15" s="21" t="s">
        <v>3</v>
      </c>
      <c r="AR15" s="13">
        <v>0.3137389265214031</v>
      </c>
      <c r="AS15" s="13">
        <v>0.265622174857693</v>
      </c>
      <c r="AT15" s="27">
        <v>0.1340453902311292</v>
      </c>
      <c r="AV15" s="21" t="s">
        <v>3</v>
      </c>
      <c r="AW15" s="13">
        <v>91652.49566077556</v>
      </c>
      <c r="AX15" s="13">
        <v>78391.71923527996</v>
      </c>
      <c r="AY15" s="27">
        <v>79880.869967281</v>
      </c>
      <c r="AZ15" s="27"/>
      <c r="BA15" s="21" t="s">
        <v>3</v>
      </c>
      <c r="BB15" s="13">
        <v>0.32840578958417005</v>
      </c>
      <c r="BC15" s="13">
        <v>0.3234421922901063</v>
      </c>
      <c r="BD15" s="13">
        <v>0.3137389265214031</v>
      </c>
      <c r="BE15" s="29"/>
      <c r="BF15" s="21" t="s">
        <v>3</v>
      </c>
      <c r="BG15" s="27">
        <v>0.29145569641031155</v>
      </c>
      <c r="BH15" s="13">
        <v>0.2825767817635032</v>
      </c>
      <c r="BI15" s="13">
        <v>0.265622174857693</v>
      </c>
      <c r="BJ15" s="21" t="s">
        <v>3</v>
      </c>
      <c r="BK15" s="27">
        <v>0.16518591161381302</v>
      </c>
      <c r="BL15" s="27">
        <v>0.154075161185206</v>
      </c>
      <c r="BM15" s="27">
        <v>0.1340453902311292</v>
      </c>
    </row>
    <row r="16">
      <c r="A16" s="21" t="s">
        <v>4</v>
      </c>
      <c r="B16" s="13">
        <v>7.284485540861102</v>
      </c>
      <c r="C16" s="13">
        <v>7.832011857478882</v>
      </c>
      <c r="D16" s="27">
        <v>9.528426809456384</v>
      </c>
      <c r="F16" s="21" t="s">
        <v>4</v>
      </c>
      <c r="G16" s="13">
        <v>0.8852288842313223</v>
      </c>
      <c r="H16" s="13">
        <v>0.9482309436904909</v>
      </c>
      <c r="I16" s="27">
        <v>1.159815161651653</v>
      </c>
      <c r="J16" s="27"/>
      <c r="K16" s="21" t="s">
        <v>4</v>
      </c>
      <c r="L16" s="13">
        <v>31.006570351553176</v>
      </c>
      <c r="M16" s="13">
        <v>39.75724625721635</v>
      </c>
      <c r="N16" s="27">
        <v>37.963414298773834</v>
      </c>
      <c r="O16" s="21" t="s">
        <v>4</v>
      </c>
      <c r="P16" s="38">
        <v>0.0010466655287147577</v>
      </c>
      <c r="Q16" s="38">
        <v>0.0013370713476603298</v>
      </c>
      <c r="R16" s="29">
        <v>0.0012836018757426465</v>
      </c>
      <c r="S16" s="21" t="s">
        <v>4</v>
      </c>
      <c r="T16" s="39">
        <v>3.655230344448099E-4</v>
      </c>
      <c r="U16" s="39">
        <v>6.207306265276431E-4</v>
      </c>
      <c r="V16" s="28">
        <v>1.7809953389824132E-4</v>
      </c>
      <c r="W16" s="21" t="s">
        <v>4</v>
      </c>
      <c r="X16" s="38">
        <v>0.001087777752816694</v>
      </c>
      <c r="Y16" s="38">
        <v>0.0012972637605138293</v>
      </c>
      <c r="Z16" s="29">
        <v>8.853837529867867E-4</v>
      </c>
      <c r="AA16" s="21" t="s">
        <v>4</v>
      </c>
      <c r="AB16" s="13">
        <v>1.0392792377068343</v>
      </c>
      <c r="AC16" s="13">
        <v>0.9702277763889283</v>
      </c>
      <c r="AD16" s="27">
        <v>0.689765081929734</v>
      </c>
      <c r="AE16" s="21" t="s">
        <v>4</v>
      </c>
      <c r="AF16" s="13">
        <v>2.9759485731697084</v>
      </c>
      <c r="AG16" s="13">
        <v>2.0898981056737953</v>
      </c>
      <c r="AH16" s="27">
        <v>4.971286188164076</v>
      </c>
      <c r="AI16" s="21" t="s">
        <v>4</v>
      </c>
      <c r="AJ16" s="13">
        <v>0.48114618493854966</v>
      </c>
      <c r="AK16" s="27">
        <v>0.29338894048580483</v>
      </c>
      <c r="AL16" s="27">
        <v>0.5029372326311066</v>
      </c>
      <c r="AM16" s="21" t="s">
        <v>4</v>
      </c>
      <c r="AN16" s="13">
        <v>0.46149920820998963</v>
      </c>
      <c r="AO16" s="13">
        <v>0.2814087858746285</v>
      </c>
      <c r="AP16" s="27">
        <v>0.4498407362315119</v>
      </c>
      <c r="AQ16" s="21" t="s">
        <v>4</v>
      </c>
      <c r="AR16" s="13">
        <v>0.4245792715531904</v>
      </c>
      <c r="AS16" s="13">
        <v>0.25889608300465816</v>
      </c>
      <c r="AT16" s="27">
        <v>0.3598725889852096</v>
      </c>
      <c r="AV16" s="21" t="s">
        <v>4</v>
      </c>
      <c r="AW16" s="13">
        <v>116104.42429404867</v>
      </c>
      <c r="AX16" s="13">
        <v>90549.53093856602</v>
      </c>
      <c r="AY16" s="27">
        <v>94828.14089554308</v>
      </c>
      <c r="AZ16" s="27"/>
      <c r="BA16" s="21" t="s">
        <v>4</v>
      </c>
      <c r="BB16" s="13">
        <v>0.48114618493854966</v>
      </c>
      <c r="BC16" s="13">
        <v>0.46149920820998963</v>
      </c>
      <c r="BD16" s="13">
        <v>0.4245792715531904</v>
      </c>
      <c r="BE16" s="29"/>
      <c r="BF16" s="21" t="s">
        <v>4</v>
      </c>
      <c r="BG16" s="27">
        <v>0.29338894048580483</v>
      </c>
      <c r="BH16" s="13">
        <v>0.2814087858746285</v>
      </c>
      <c r="BI16" s="13">
        <v>0.25889608300465816</v>
      </c>
      <c r="BJ16" s="21" t="s">
        <v>4</v>
      </c>
      <c r="BK16" s="27">
        <v>0.5029372326311066</v>
      </c>
      <c r="BL16" s="27">
        <v>0.4498407362315119</v>
      </c>
      <c r="BM16" s="27">
        <v>0.3598725889852096</v>
      </c>
    </row>
    <row r="17">
      <c r="A17" s="21" t="s">
        <v>5</v>
      </c>
      <c r="B17" s="13">
        <v>7.469751068093883</v>
      </c>
      <c r="C17" s="13">
        <v>8.562375917823605</v>
      </c>
      <c r="D17" s="27">
        <v>8.754388076503606</v>
      </c>
      <c r="F17" s="21" t="s">
        <v>5</v>
      </c>
      <c r="G17" s="13">
        <v>0.9043256769969064</v>
      </c>
      <c r="H17" s="13">
        <v>1.0423427434833323</v>
      </c>
      <c r="I17" s="27">
        <v>1.06508613871336</v>
      </c>
      <c r="J17" s="27"/>
      <c r="K17" s="21" t="s">
        <v>5</v>
      </c>
      <c r="L17" s="13">
        <v>32.4904023076276</v>
      </c>
      <c r="M17" s="13">
        <v>41.14318074987116</v>
      </c>
      <c r="N17" s="27">
        <v>36.24342577721923</v>
      </c>
      <c r="O17" s="21" t="s">
        <v>5</v>
      </c>
      <c r="P17" s="38">
        <v>0.0010926254731658978</v>
      </c>
      <c r="Q17" s="38">
        <v>0.0013912706366017874</v>
      </c>
      <c r="R17" s="29">
        <v>0.0012248578172537573</v>
      </c>
      <c r="S17" s="21" t="s">
        <v>5</v>
      </c>
      <c r="T17" s="39">
        <v>5.143894981334637E-4</v>
      </c>
      <c r="U17" s="39">
        <v>4.858681697954704E-4</v>
      </c>
      <c r="V17" s="28">
        <v>4.2775245180359046E-4</v>
      </c>
      <c r="W17" s="21" t="s">
        <v>5</v>
      </c>
      <c r="X17" s="38">
        <v>0.0011357279472442286</v>
      </c>
      <c r="Y17" s="38">
        <v>0.0012813633706263464</v>
      </c>
      <c r="Z17" s="29">
        <v>9.430067424982089E-4</v>
      </c>
      <c r="AA17" s="21" t="s">
        <v>5</v>
      </c>
      <c r="AB17" s="13">
        <v>1.0394485348702707</v>
      </c>
      <c r="AC17" s="13">
        <v>0.921002238468935</v>
      </c>
      <c r="AD17" s="27">
        <v>0.7698907817827506</v>
      </c>
      <c r="AE17" s="21" t="s">
        <v>5</v>
      </c>
      <c r="AF17" s="13">
        <v>2.2079143360534785</v>
      </c>
      <c r="AG17" s="13">
        <v>2.6372655182695857</v>
      </c>
      <c r="AH17" s="27">
        <v>2.2045618640456226</v>
      </c>
      <c r="AI17" s="21" t="s">
        <v>5</v>
      </c>
      <c r="AJ17" s="13">
        <v>0.33712216037389237</v>
      </c>
      <c r="AK17" s="27">
        <v>0.3015875448001654</v>
      </c>
      <c r="AL17" s="27">
        <v>0.26109877655317276</v>
      </c>
      <c r="AM17" s="21" t="s">
        <v>5</v>
      </c>
      <c r="AN17" s="13">
        <v>0.32685206126663907</v>
      </c>
      <c r="AO17" s="13">
        <v>0.29549423901566696</v>
      </c>
      <c r="AP17" s="27">
        <v>0.23643499807854626</v>
      </c>
      <c r="AQ17" s="21" t="s">
        <v>5</v>
      </c>
      <c r="AR17" s="13">
        <v>0.3072409375906407</v>
      </c>
      <c r="AS17" s="13">
        <v>0.28367446945504027</v>
      </c>
      <c r="AT17" s="27">
        <v>0.1938766984244079</v>
      </c>
      <c r="AV17" s="21" t="s">
        <v>5</v>
      </c>
      <c r="AW17" s="13">
        <v>110801.95209386027</v>
      </c>
      <c r="AX17" s="13">
        <v>87499.31177869064</v>
      </c>
      <c r="AY17" s="27">
        <v>99328.35880715163</v>
      </c>
      <c r="AZ17" s="27"/>
      <c r="BA17" s="21" t="s">
        <v>5</v>
      </c>
      <c r="BB17" s="13">
        <v>0.33712216037389237</v>
      </c>
      <c r="BC17" s="13">
        <v>0.32685206126663907</v>
      </c>
      <c r="BD17" s="13">
        <v>0.3072409375906407</v>
      </c>
      <c r="BE17" s="29"/>
      <c r="BF17" s="21" t="s">
        <v>5</v>
      </c>
      <c r="BG17" s="27">
        <v>0.3015875448001654</v>
      </c>
      <c r="BH17" s="13">
        <v>0.29549423901566696</v>
      </c>
      <c r="BI17" s="13">
        <v>0.28367446945504027</v>
      </c>
      <c r="BJ17" s="21" t="s">
        <v>5</v>
      </c>
      <c r="BK17" s="27">
        <v>0.26109877655317276</v>
      </c>
      <c r="BL17" s="27">
        <v>0.23643499807854626</v>
      </c>
      <c r="BM17" s="27">
        <v>0.1938766984244079</v>
      </c>
    </row>
    <row r="18">
      <c r="A18" s="21" t="s">
        <v>7</v>
      </c>
      <c r="B18" s="13">
        <v>23.730745464433333</v>
      </c>
      <c r="C18" s="13">
        <v>23.653404564966912</v>
      </c>
      <c r="D18" s="27">
        <v>27.376560123789947</v>
      </c>
      <c r="F18" s="21" t="s">
        <v>7</v>
      </c>
      <c r="G18" s="13">
        <v>2.8912482114466753</v>
      </c>
      <c r="H18" s="13">
        <v>2.8800742842785545</v>
      </c>
      <c r="I18" s="27">
        <v>3.335578149548465</v>
      </c>
      <c r="J18" s="27"/>
      <c r="K18" s="21" t="s">
        <v>7</v>
      </c>
      <c r="L18" s="13">
        <v>34.16948523878851</v>
      </c>
      <c r="M18" s="13">
        <v>40.236724800324765</v>
      </c>
      <c r="N18" s="27">
        <v>38.02452584735028</v>
      </c>
      <c r="O18" s="21" t="s">
        <v>7</v>
      </c>
      <c r="P18" s="38">
        <v>0.00115640492193704</v>
      </c>
      <c r="Q18" s="38">
        <v>0.0013609123379013546</v>
      </c>
      <c r="R18" s="29">
        <v>0.0012869259220078526</v>
      </c>
      <c r="S18" s="21" t="s">
        <v>7</v>
      </c>
      <c r="T18" s="39">
        <v>4.038469066927054E-4</v>
      </c>
      <c r="U18" s="39">
        <v>1.888263468891936E-4</v>
      </c>
      <c r="V18" s="28">
        <v>1.8044720764858504E-4</v>
      </c>
      <c r="W18" s="21" t="s">
        <v>7</v>
      </c>
      <c r="X18" s="38">
        <v>3.839686681566784E-4</v>
      </c>
      <c r="Y18" s="38">
        <v>4.441752091639961E-4</v>
      </c>
      <c r="Z18" s="29">
        <v>2.8936346211422064E-4</v>
      </c>
      <c r="AA18" s="21" t="s">
        <v>7</v>
      </c>
      <c r="AB18" s="13">
        <v>0.332036521872901</v>
      </c>
      <c r="AC18" s="13">
        <v>0.3263804705077132</v>
      </c>
      <c r="AD18" s="27">
        <v>0.22484857688060073</v>
      </c>
      <c r="AE18" s="21" t="s">
        <v>7</v>
      </c>
      <c r="AF18" s="13">
        <v>0.950777786813277</v>
      </c>
      <c r="AG18" s="13">
        <v>2.3522946690519064</v>
      </c>
      <c r="AH18" s="27">
        <v>1.6035906894039968</v>
      </c>
      <c r="AI18" s="21" t="s">
        <v>7</v>
      </c>
      <c r="AJ18" s="13">
        <v>0.014143166428278047</v>
      </c>
      <c r="AK18" s="27">
        <v>0.03561479493941135</v>
      </c>
      <c r="AL18" s="27">
        <v>0.020277429314619434</v>
      </c>
      <c r="AM18" s="21" t="s">
        <v>7</v>
      </c>
      <c r="AN18" s="13">
        <v>0.013857416438616989</v>
      </c>
      <c r="AO18" s="13">
        <v>0.03452982481075949</v>
      </c>
      <c r="AP18" s="27">
        <v>0.017560768909903712</v>
      </c>
      <c r="AQ18" s="21" t="s">
        <v>7</v>
      </c>
      <c r="AR18" s="13">
        <v>0.01330311978107231</v>
      </c>
      <c r="AS18" s="13">
        <v>0.032458035322113915</v>
      </c>
      <c r="AT18" s="27">
        <v>0.013170576682427782</v>
      </c>
      <c r="AV18" s="21" t="s">
        <v>7</v>
      </c>
      <c r="AW18" s="13">
        <v>105357.16224116107</v>
      </c>
      <c r="AX18" s="13">
        <v>89470.50282708257</v>
      </c>
      <c r="AY18" s="27">
        <v>94675.73677189885</v>
      </c>
      <c r="AZ18" s="27"/>
      <c r="BA18" s="21" t="s">
        <v>7</v>
      </c>
      <c r="BB18" s="13">
        <v>0.014143166428278047</v>
      </c>
      <c r="BC18" s="13">
        <v>0.013857416438616989</v>
      </c>
      <c r="BD18" s="13">
        <v>0.01330311978107231</v>
      </c>
      <c r="BE18" s="29"/>
      <c r="BF18" s="21" t="s">
        <v>7</v>
      </c>
      <c r="BG18" s="27">
        <v>0.03561479493941135</v>
      </c>
      <c r="BH18" s="13">
        <v>0.03452982481075949</v>
      </c>
      <c r="BI18" s="13">
        <v>0.032458035322113915</v>
      </c>
      <c r="BJ18" s="21" t="s">
        <v>7</v>
      </c>
      <c r="BK18" s="27">
        <v>0.020277429314619434</v>
      </c>
      <c r="BL18" s="27">
        <v>0.017560768909903712</v>
      </c>
      <c r="BM18" s="27">
        <v>0.013170576682427782</v>
      </c>
    </row>
    <row r="19">
      <c r="A19" s="21" t="s">
        <v>6</v>
      </c>
      <c r="B19" s="13">
        <v>8.68095</v>
      </c>
      <c r="C19" s="13">
        <v>8.132880555555555</v>
      </c>
      <c r="D19" s="27">
        <v>11.709366666666668</v>
      </c>
      <c r="F19" s="21" t="s">
        <v>6</v>
      </c>
      <c r="G19" s="13">
        <v>1.05028011856</v>
      </c>
      <c r="H19" s="13">
        <v>0.98517464733</v>
      </c>
      <c r="I19" s="27">
        <v>1.4205438908999999</v>
      </c>
      <c r="J19" s="27"/>
      <c r="K19" s="21" t="s">
        <v>6</v>
      </c>
      <c r="L19" s="13">
        <v>37.022967412976286</v>
      </c>
      <c r="M19" s="13">
        <v>41.321238294839496</v>
      </c>
      <c r="N19" s="27">
        <v>44.01272967605731</v>
      </c>
      <c r="O19" s="21" t="s">
        <v>6</v>
      </c>
      <c r="P19" s="38">
        <v>0.001244247032741032</v>
      </c>
      <c r="Q19" s="38">
        <v>0.0013903996829180516</v>
      </c>
      <c r="R19" s="29">
        <v>0.001483190908492924</v>
      </c>
      <c r="S19" s="21" t="s">
        <v>6</v>
      </c>
      <c r="T19" s="39">
        <v>4.5393357433696363E-4</v>
      </c>
      <c r="U19" s="39">
        <v>6.545765339317342E-4</v>
      </c>
      <c r="V19" s="28">
        <v>6.754990102969213E-4</v>
      </c>
      <c r="W19" s="21" t="s">
        <v>6</v>
      </c>
      <c r="X19" s="38">
        <v>0.001137293880292711</v>
      </c>
      <c r="Y19" s="38">
        <v>0.00138309658389257</v>
      </c>
      <c r="Z19" s="29">
        <v>9.501316611016098E-4</v>
      </c>
      <c r="AA19" s="21" t="s">
        <v>6</v>
      </c>
      <c r="AB19" s="13">
        <v>0.9140418665795753</v>
      </c>
      <c r="AC19" s="13">
        <v>0.9947474822418296</v>
      </c>
      <c r="AD19" s="27">
        <v>0.6405997067950223</v>
      </c>
      <c r="AE19" s="21" t="s">
        <v>6</v>
      </c>
      <c r="AF19" s="13">
        <v>2.5054191727366613</v>
      </c>
      <c r="AG19" s="13">
        <v>2.1129638968035676</v>
      </c>
      <c r="AH19" s="27">
        <v>1.4065626249903334</v>
      </c>
      <c r="AI19" s="21" t="s">
        <v>6</v>
      </c>
      <c r="AJ19" s="13">
        <v>0.28046093703203806</v>
      </c>
      <c r="AK19" s="27">
        <v>0.26639214668283917</v>
      </c>
      <c r="AL19" s="27">
        <v>0.0886441978883512</v>
      </c>
      <c r="AM19" s="21" t="s">
        <v>6</v>
      </c>
      <c r="AN19" s="13">
        <v>0.2747944754045344</v>
      </c>
      <c r="AO19" s="13">
        <v>0.26371477072398786</v>
      </c>
      <c r="AP19" s="27">
        <v>0.08456117534385946</v>
      </c>
      <c r="AQ19" s="21" t="s">
        <v>6</v>
      </c>
      <c r="AR19" s="13">
        <v>0.263802696388353</v>
      </c>
      <c r="AS19" s="13">
        <v>0.2584404753095081</v>
      </c>
      <c r="AT19" s="27">
        <v>0.0769506695629121</v>
      </c>
      <c r="AV19" s="21" t="s">
        <v>6</v>
      </c>
      <c r="AW19" s="13">
        <v>97236.93835352123</v>
      </c>
      <c r="AX19" s="13">
        <v>87122.26807708216</v>
      </c>
      <c r="AY19" s="27">
        <v>81794.51777921378</v>
      </c>
      <c r="AZ19" s="27"/>
      <c r="BA19" s="21" t="s">
        <v>6</v>
      </c>
      <c r="BB19" s="13">
        <v>0.28046093703203806</v>
      </c>
      <c r="BC19" s="13">
        <v>0.2747944754045344</v>
      </c>
      <c r="BD19" s="13">
        <v>0.263802696388353</v>
      </c>
      <c r="BE19" s="29"/>
      <c r="BF19" s="21" t="s">
        <v>6</v>
      </c>
      <c r="BG19" s="27">
        <v>0.26639214668283917</v>
      </c>
      <c r="BH19" s="13">
        <v>0.26371477072398786</v>
      </c>
      <c r="BI19" s="13">
        <v>0.2584404753095081</v>
      </c>
      <c r="BJ19" s="21" t="s">
        <v>6</v>
      </c>
      <c r="BK19" s="27">
        <v>0.0886441978883512</v>
      </c>
      <c r="BL19" s="27">
        <v>0.08456117534385946</v>
      </c>
      <c r="BM19" s="27">
        <v>0.0769506695629121</v>
      </c>
    </row>
    <row r="20">
      <c r="I20" s="27"/>
      <c r="J20" s="27"/>
      <c r="K20" s="27"/>
      <c r="L20" s="27"/>
      <c r="M20" s="28"/>
      <c r="N20" s="29"/>
      <c r="O20" s="29"/>
      <c r="P20" s="29"/>
      <c r="Q20" s="27"/>
      <c r="R20" s="27"/>
      <c r="S20" s="27"/>
      <c r="T20" s="27"/>
      <c r="U20" s="27"/>
      <c r="V20" s="27"/>
      <c r="AE20" s="27"/>
      <c r="AF20" s="27"/>
      <c r="AG20" s="27"/>
      <c r="AH20" s="27"/>
      <c r="AI20" s="28"/>
      <c r="AJ20" s="29"/>
      <c r="AK20" s="29"/>
      <c r="AL20" s="27"/>
      <c r="AM20" s="27"/>
      <c r="AN20" s="27"/>
      <c r="AO20" s="27"/>
      <c r="AP20" s="27"/>
      <c r="AY20" s="27"/>
      <c r="AZ20" s="27"/>
      <c r="BA20" s="27"/>
      <c r="BB20" s="27"/>
      <c r="BC20" s="28"/>
      <c r="BD20" s="29"/>
      <c r="BE20" s="29"/>
      <c r="BF20" s="27"/>
      <c r="BG20" s="27"/>
      <c r="BH20" s="27"/>
      <c r="BI20" s="27"/>
      <c r="BJ20" s="27"/>
      <c r="BK20" s="27"/>
      <c r="BL20" s="27"/>
      <c r="BM20" s="27"/>
    </row>
    <row r="21">
      <c r="I21" s="27"/>
      <c r="J21" s="27"/>
      <c r="K21" s="27"/>
      <c r="L21" s="27"/>
      <c r="M21" s="28"/>
      <c r="N21" s="29"/>
      <c r="O21" s="29"/>
      <c r="P21" s="29"/>
      <c r="Q21" s="27"/>
      <c r="R21" s="27"/>
      <c r="S21" s="27"/>
      <c r="T21" s="27"/>
      <c r="U21" s="27"/>
      <c r="V21" s="27"/>
      <c r="AE21" s="27"/>
      <c r="AF21" s="27"/>
      <c r="AG21" s="27"/>
      <c r="AH21" s="27"/>
      <c r="AI21" s="28"/>
      <c r="AJ21" s="29"/>
      <c r="AK21" s="29"/>
      <c r="AL21" s="27"/>
      <c r="AM21" s="27"/>
      <c r="AN21" s="27"/>
      <c r="AO21" s="27"/>
      <c r="AP21" s="27"/>
      <c r="AY21" s="27"/>
      <c r="AZ21" s="27"/>
      <c r="BA21" s="27"/>
      <c r="BB21" s="27"/>
      <c r="BC21" s="28"/>
      <c r="BD21" s="29"/>
      <c r="BE21" s="29"/>
      <c r="BF21" s="27"/>
      <c r="BG21" s="27"/>
      <c r="BH21" s="27"/>
      <c r="BI21" s="27"/>
      <c r="BJ21" s="27"/>
      <c r="BK21" s="27"/>
      <c r="BL21" s="27"/>
      <c r="BM21" s="27"/>
    </row>
    <row r="22">
      <c r="I22" s="27"/>
      <c r="J22" s="27"/>
      <c r="K22" s="27"/>
      <c r="L22" s="27"/>
      <c r="M22" s="28"/>
      <c r="N22" s="29"/>
      <c r="O22" s="29"/>
      <c r="P22" s="29"/>
      <c r="Q22" s="27"/>
      <c r="R22" s="27"/>
      <c r="S22" s="27"/>
      <c r="T22" s="27"/>
      <c r="U22" s="27"/>
      <c r="V22" s="27"/>
      <c r="AE22" s="27"/>
      <c r="AF22" s="27"/>
      <c r="AG22" s="27"/>
      <c r="AH22" s="27"/>
      <c r="AI22" s="28"/>
      <c r="AJ22" s="29"/>
      <c r="AK22" s="29"/>
      <c r="AL22" s="27"/>
      <c r="AM22" s="27"/>
      <c r="AN22" s="27"/>
      <c r="AO22" s="27"/>
      <c r="AP22" s="27"/>
      <c r="AY22" s="27"/>
      <c r="AZ22" s="27"/>
      <c r="BA22" s="27"/>
      <c r="BB22" s="27"/>
      <c r="BC22" s="28"/>
      <c r="BD22" s="29"/>
      <c r="BE22" s="29"/>
      <c r="BF22" s="27"/>
      <c r="BG22" s="27"/>
      <c r="BH22" s="27"/>
      <c r="BI22" s="27"/>
      <c r="BJ22" s="27"/>
      <c r="BK22" s="27"/>
      <c r="BL22" s="27"/>
      <c r="BM22" s="27"/>
    </row>
    <row r="23">
      <c r="I23" s="27"/>
      <c r="J23" s="27"/>
      <c r="K23" s="27"/>
      <c r="L23" s="27"/>
      <c r="M23" s="28"/>
      <c r="N23" s="29"/>
      <c r="O23" s="29"/>
      <c r="P23" s="29"/>
      <c r="Q23" s="27"/>
      <c r="R23" s="27"/>
      <c r="S23" s="27"/>
      <c r="T23" s="27"/>
      <c r="U23" s="27"/>
      <c r="V23" s="27"/>
      <c r="AE23" s="27"/>
      <c r="AF23" s="27"/>
      <c r="AG23" s="27"/>
      <c r="AH23" s="27"/>
      <c r="AI23" s="28"/>
      <c r="AJ23" s="29"/>
      <c r="AK23" s="29"/>
      <c r="AL23" s="27"/>
      <c r="AM23" s="27"/>
      <c r="AN23" s="27"/>
      <c r="AO23" s="27"/>
      <c r="AP23" s="27"/>
      <c r="AY23" s="27"/>
      <c r="AZ23" s="27"/>
      <c r="BA23" s="27"/>
      <c r="BB23" s="27"/>
      <c r="BC23" s="28"/>
      <c r="BD23" s="29"/>
      <c r="BE23" s="29"/>
      <c r="BF23" s="27"/>
      <c r="BG23" s="27"/>
      <c r="BH23" s="27"/>
      <c r="BI23" s="27"/>
      <c r="BJ23" s="27"/>
      <c r="BK23" s="27"/>
      <c r="BL23" s="27"/>
      <c r="BM23" s="27"/>
    </row>
    <row r="24">
      <c r="I24" s="27"/>
      <c r="J24" s="27"/>
      <c r="K24" s="27"/>
      <c r="L24" s="27"/>
      <c r="M24" s="28"/>
      <c r="N24" s="29"/>
      <c r="O24" s="29"/>
      <c r="P24" s="29"/>
      <c r="Q24" s="27"/>
      <c r="R24" s="27"/>
      <c r="S24" s="27"/>
      <c r="T24" s="27"/>
      <c r="U24" s="27"/>
      <c r="V24" s="27"/>
      <c r="AE24" s="27"/>
      <c r="AF24" s="27"/>
      <c r="AG24" s="27"/>
      <c r="AH24" s="27"/>
      <c r="AI24" s="28"/>
      <c r="AJ24" s="29"/>
      <c r="AK24" s="29"/>
      <c r="AL24" s="27"/>
      <c r="AM24" s="27"/>
      <c r="AN24" s="27"/>
      <c r="AO24" s="27"/>
      <c r="AP24" s="27"/>
      <c r="AY24" s="27"/>
      <c r="AZ24" s="27"/>
      <c r="BA24" s="27"/>
      <c r="BB24" s="27"/>
      <c r="BC24" s="28"/>
      <c r="BD24" s="29"/>
      <c r="BE24" s="29"/>
      <c r="BF24" s="27"/>
      <c r="BG24" s="27"/>
      <c r="BH24" s="27"/>
      <c r="BI24" s="27"/>
      <c r="BJ24" s="27"/>
      <c r="BK24" s="27"/>
      <c r="BL24" s="27"/>
      <c r="BM24" s="27"/>
    </row>
    <row r="25">
      <c r="I25" s="27"/>
      <c r="J25" s="27"/>
      <c r="K25" s="27"/>
      <c r="L25" s="27"/>
      <c r="M25" s="28"/>
      <c r="N25" s="29"/>
      <c r="O25" s="29"/>
      <c r="P25" s="29"/>
      <c r="Q25" s="27"/>
      <c r="R25" s="27"/>
      <c r="S25" s="27"/>
      <c r="T25" s="27"/>
      <c r="U25" s="27"/>
      <c r="V25" s="27"/>
      <c r="AE25" s="27"/>
      <c r="AF25" s="27"/>
      <c r="AG25" s="27"/>
      <c r="AH25" s="27"/>
      <c r="AI25" s="28"/>
      <c r="AJ25" s="29"/>
      <c r="AK25" s="29"/>
      <c r="AL25" s="27"/>
      <c r="AM25" s="27"/>
      <c r="AN25" s="27"/>
      <c r="AO25" s="27"/>
      <c r="AP25" s="27"/>
      <c r="AY25" s="27"/>
      <c r="AZ25" s="27"/>
      <c r="BA25" s="27"/>
      <c r="BB25" s="27"/>
      <c r="BC25" s="28"/>
      <c r="BD25" s="29"/>
      <c r="BE25" s="29"/>
      <c r="BF25" s="27"/>
      <c r="BG25" s="27"/>
      <c r="BH25" s="27"/>
      <c r="BI25" s="27"/>
      <c r="BJ25" s="27"/>
      <c r="BK25" s="27"/>
      <c r="BL25" s="27"/>
      <c r="BM25" s="27"/>
    </row>
    <row r="26">
      <c r="I26" s="27"/>
      <c r="J26" s="27"/>
      <c r="K26" s="27"/>
      <c r="L26" s="27"/>
      <c r="M26" s="28"/>
      <c r="N26" s="29"/>
      <c r="O26" s="29"/>
      <c r="P26" s="29"/>
      <c r="Q26" s="27"/>
      <c r="R26" s="27"/>
      <c r="S26" s="27"/>
      <c r="T26" s="27"/>
      <c r="U26" s="27"/>
      <c r="V26" s="27"/>
      <c r="AE26" s="27"/>
      <c r="AF26" s="27"/>
      <c r="AG26" s="27"/>
      <c r="AH26" s="27"/>
      <c r="AI26" s="28"/>
      <c r="AJ26" s="29"/>
      <c r="AK26" s="29"/>
      <c r="AL26" s="27"/>
      <c r="AM26" s="27"/>
      <c r="AN26" s="27"/>
      <c r="AO26" s="27"/>
      <c r="AP26" s="27"/>
      <c r="AY26" s="27"/>
      <c r="AZ26" s="27"/>
      <c r="BA26" s="27"/>
      <c r="BB26" s="27"/>
      <c r="BC26" s="28"/>
      <c r="BD26" s="29"/>
      <c r="BE26" s="29"/>
      <c r="BF26" s="27"/>
      <c r="BG26" s="27"/>
      <c r="BH26" s="27"/>
      <c r="BI26" s="27"/>
      <c r="BJ26" s="27"/>
      <c r="BK26" s="27"/>
      <c r="BL26" s="27"/>
      <c r="BM26" s="27"/>
    </row>
    <row r="27">
      <c r="I27" s="27"/>
      <c r="J27" s="27"/>
      <c r="K27" s="27"/>
      <c r="L27" s="27"/>
      <c r="M27" s="28"/>
      <c r="N27" s="29"/>
      <c r="O27" s="29"/>
      <c r="P27" s="29"/>
      <c r="Q27" s="27"/>
      <c r="R27" s="27"/>
      <c r="S27" s="27"/>
      <c r="T27" s="27"/>
      <c r="U27" s="27"/>
      <c r="V27" s="27"/>
      <c r="AE27" s="27"/>
      <c r="AF27" s="27"/>
      <c r="AG27" s="27"/>
      <c r="AH27" s="27"/>
      <c r="AI27" s="28"/>
      <c r="AJ27" s="29"/>
      <c r="AK27" s="29"/>
      <c r="AL27" s="27"/>
      <c r="AM27" s="27"/>
      <c r="AN27" s="27"/>
      <c r="AO27" s="27"/>
      <c r="AP27" s="27"/>
      <c r="AY27" s="27"/>
      <c r="AZ27" s="27"/>
      <c r="BA27" s="27"/>
      <c r="BB27" s="27"/>
      <c r="BC27" s="28"/>
      <c r="BD27" s="29"/>
      <c r="BE27" s="29"/>
      <c r="BF27" s="27"/>
      <c r="BG27" s="27"/>
      <c r="BH27" s="27"/>
      <c r="BI27" s="27"/>
      <c r="BJ27" s="27"/>
      <c r="BK27" s="27"/>
      <c r="BL27" s="27"/>
      <c r="BM27" s="27"/>
    </row>
    <row r="28">
      <c r="I28" s="27"/>
      <c r="J28" s="27"/>
      <c r="K28" s="27"/>
      <c r="L28" s="27"/>
      <c r="M28" s="28"/>
      <c r="N28" s="29"/>
      <c r="O28" s="29"/>
      <c r="P28" s="29"/>
      <c r="Q28" s="27"/>
      <c r="R28" s="27"/>
      <c r="S28" s="27"/>
      <c r="T28" s="27"/>
      <c r="U28" s="27"/>
      <c r="V28" s="27"/>
      <c r="AE28" s="27"/>
      <c r="AF28" s="27"/>
      <c r="AG28" s="27"/>
      <c r="AH28" s="27"/>
      <c r="AI28" s="28"/>
      <c r="AJ28" s="29"/>
      <c r="AK28" s="29"/>
      <c r="AL28" s="27"/>
      <c r="AM28" s="27"/>
      <c r="AN28" s="27"/>
      <c r="AO28" s="27"/>
      <c r="AP28" s="27"/>
      <c r="AY28" s="27"/>
      <c r="AZ28" s="27"/>
      <c r="BA28" s="27"/>
      <c r="BB28" s="27"/>
      <c r="BC28" s="28"/>
      <c r="BD28" s="29"/>
      <c r="BE28" s="29"/>
      <c r="BF28" s="27"/>
      <c r="BG28" s="27"/>
      <c r="BH28" s="27"/>
      <c r="BI28" s="27"/>
      <c r="BJ28" s="27"/>
      <c r="BK28" s="27"/>
      <c r="BL28" s="27"/>
      <c r="BM28" s="27"/>
    </row>
    <row r="29">
      <c r="I29" s="27"/>
      <c r="J29" s="27"/>
      <c r="K29" s="27"/>
      <c r="L29" s="27"/>
      <c r="M29" s="28"/>
      <c r="N29" s="29"/>
      <c r="O29" s="29"/>
      <c r="P29" s="29"/>
      <c r="Q29" s="27"/>
      <c r="R29" s="27"/>
      <c r="S29" s="27"/>
      <c r="T29" s="27"/>
      <c r="U29" s="27"/>
      <c r="V29" s="27"/>
      <c r="AE29" s="27"/>
      <c r="AF29" s="27"/>
      <c r="AG29" s="27"/>
      <c r="AH29" s="27"/>
      <c r="AI29" s="28"/>
      <c r="AJ29" s="29"/>
      <c r="AK29" s="29"/>
      <c r="AL29" s="27"/>
      <c r="AM29" s="27"/>
      <c r="AN29" s="27"/>
      <c r="AO29" s="27"/>
      <c r="AP29" s="27"/>
      <c r="AY29" s="27"/>
      <c r="AZ29" s="27"/>
      <c r="BA29" s="27"/>
      <c r="BB29" s="27"/>
      <c r="BC29" s="28"/>
      <c r="BD29" s="29"/>
      <c r="BE29" s="29"/>
      <c r="BF29" s="27"/>
      <c r="BG29" s="27"/>
      <c r="BH29" s="27"/>
      <c r="BI29" s="27"/>
      <c r="BJ29" s="27"/>
      <c r="BK29" s="27"/>
      <c r="BL29" s="27"/>
      <c r="BM29" s="27"/>
    </row>
    <row r="30">
      <c r="I30" s="27"/>
      <c r="J30" s="27"/>
      <c r="K30" s="27"/>
      <c r="L30" s="27"/>
      <c r="M30" s="28"/>
      <c r="N30" s="29"/>
      <c r="O30" s="29"/>
      <c r="P30" s="29"/>
      <c r="Q30" s="27"/>
      <c r="R30" s="27"/>
      <c r="S30" s="27"/>
      <c r="T30" s="27"/>
      <c r="U30" s="27"/>
      <c r="V30" s="27"/>
      <c r="AE30" s="27"/>
      <c r="AF30" s="27"/>
      <c r="AG30" s="27"/>
      <c r="AH30" s="27"/>
      <c r="AI30" s="28"/>
      <c r="AJ30" s="29"/>
      <c r="AK30" s="29"/>
      <c r="AL30" s="27"/>
      <c r="AM30" s="27"/>
      <c r="AN30" s="27"/>
      <c r="AO30" s="27"/>
      <c r="AP30" s="27"/>
      <c r="AY30" s="27"/>
      <c r="AZ30" s="27"/>
      <c r="BA30" s="27"/>
      <c r="BB30" s="27"/>
      <c r="BC30" s="28"/>
      <c r="BD30" s="29"/>
      <c r="BE30" s="29"/>
      <c r="BF30" s="27"/>
      <c r="BG30" s="27"/>
      <c r="BH30" s="27"/>
      <c r="BI30" s="27"/>
      <c r="BJ30" s="27"/>
      <c r="BK30" s="27"/>
      <c r="BL30" s="27"/>
      <c r="BM30" s="27"/>
    </row>
    <row r="31">
      <c r="I31" s="27"/>
      <c r="J31" s="27"/>
      <c r="K31" s="27"/>
      <c r="L31" s="27"/>
      <c r="M31" s="28"/>
      <c r="N31" s="29"/>
      <c r="O31" s="29"/>
      <c r="P31" s="29"/>
      <c r="Q31" s="27"/>
      <c r="R31" s="27"/>
      <c r="S31" s="27"/>
      <c r="T31" s="27"/>
      <c r="U31" s="27"/>
      <c r="V31" s="27"/>
      <c r="AE31" s="27"/>
      <c r="AF31" s="27"/>
      <c r="AG31" s="27"/>
      <c r="AH31" s="27"/>
      <c r="AI31" s="28"/>
      <c r="AJ31" s="29"/>
      <c r="AK31" s="29"/>
      <c r="AL31" s="27"/>
      <c r="AM31" s="27"/>
      <c r="AN31" s="27"/>
      <c r="AO31" s="27"/>
      <c r="AP31" s="27"/>
      <c r="AY31" s="27"/>
      <c r="AZ31" s="27"/>
      <c r="BA31" s="27"/>
      <c r="BB31" s="27"/>
      <c r="BC31" s="28"/>
      <c r="BD31" s="29"/>
      <c r="BE31" s="29"/>
      <c r="BF31" s="27"/>
      <c r="BG31" s="27"/>
      <c r="BH31" s="27"/>
      <c r="BI31" s="27"/>
      <c r="BJ31" s="27"/>
      <c r="BK31" s="27"/>
      <c r="BL31" s="27"/>
      <c r="BM31" s="27"/>
    </row>
    <row r="32">
      <c r="I32" s="27"/>
      <c r="J32" s="27"/>
      <c r="K32" s="27"/>
      <c r="L32" s="27"/>
      <c r="M32" s="28"/>
      <c r="N32" s="29"/>
      <c r="O32" s="29"/>
      <c r="P32" s="29"/>
      <c r="Q32" s="27"/>
      <c r="R32" s="27"/>
      <c r="S32" s="27"/>
      <c r="T32" s="27"/>
      <c r="U32" s="27"/>
      <c r="V32" s="27"/>
      <c r="AE32" s="27"/>
      <c r="AF32" s="27"/>
      <c r="AG32" s="27"/>
      <c r="AH32" s="27"/>
      <c r="AI32" s="28"/>
      <c r="AJ32" s="29"/>
      <c r="AK32" s="29"/>
      <c r="AL32" s="27"/>
      <c r="AM32" s="27"/>
      <c r="AN32" s="27"/>
      <c r="AO32" s="27"/>
      <c r="AP32" s="27"/>
      <c r="AY32" s="27"/>
      <c r="AZ32" s="27"/>
      <c r="BA32" s="27"/>
      <c r="BB32" s="27"/>
      <c r="BC32" s="28"/>
      <c r="BD32" s="29"/>
      <c r="BE32" s="29"/>
      <c r="BF32" s="27"/>
      <c r="BG32" s="27"/>
      <c r="BH32" s="27"/>
      <c r="BI32" s="27"/>
      <c r="BJ32" s="27"/>
      <c r="BK32" s="27"/>
      <c r="BL32" s="27"/>
      <c r="BM32" s="27"/>
    </row>
    <row r="33">
      <c r="I33" s="27"/>
      <c r="J33" s="27"/>
      <c r="K33" s="27"/>
      <c r="L33" s="27"/>
      <c r="M33" s="28"/>
      <c r="N33" s="29"/>
      <c r="O33" s="29"/>
      <c r="P33" s="29"/>
      <c r="Q33" s="27"/>
      <c r="R33" s="27"/>
      <c r="S33" s="27"/>
      <c r="T33" s="27"/>
      <c r="U33" s="27"/>
      <c r="V33" s="27"/>
      <c r="AE33" s="27"/>
      <c r="AF33" s="27"/>
      <c r="AG33" s="27"/>
      <c r="AH33" s="27"/>
      <c r="AI33" s="28"/>
      <c r="AJ33" s="29"/>
      <c r="AK33" s="29"/>
      <c r="AL33" s="27"/>
      <c r="AM33" s="27"/>
      <c r="AN33" s="27"/>
      <c r="AO33" s="27"/>
      <c r="AP33" s="27"/>
      <c r="AY33" s="27"/>
      <c r="AZ33" s="27"/>
      <c r="BA33" s="27"/>
      <c r="BB33" s="27"/>
      <c r="BC33" s="28"/>
      <c r="BD33" s="29"/>
      <c r="BE33" s="29"/>
      <c r="BF33" s="27"/>
      <c r="BG33" s="27"/>
      <c r="BH33" s="27"/>
      <c r="BI33" s="27"/>
      <c r="BJ33" s="27"/>
      <c r="BK33" s="27"/>
      <c r="BL33" s="27"/>
      <c r="BM33" s="27"/>
    </row>
    <row r="34">
      <c r="I34" s="27"/>
      <c r="J34" s="27"/>
      <c r="K34" s="27"/>
      <c r="L34" s="27"/>
      <c r="M34" s="28"/>
      <c r="N34" s="29"/>
      <c r="O34" s="29"/>
      <c r="P34" s="29"/>
      <c r="Q34" s="27"/>
      <c r="R34" s="27"/>
      <c r="S34" s="27"/>
      <c r="T34" s="27"/>
      <c r="U34" s="27"/>
      <c r="V34" s="27"/>
      <c r="AE34" s="27"/>
      <c r="AF34" s="27"/>
      <c r="AG34" s="27"/>
      <c r="AH34" s="27"/>
      <c r="AI34" s="28"/>
      <c r="AJ34" s="29"/>
      <c r="AK34" s="29"/>
      <c r="AL34" s="27"/>
      <c r="AM34" s="27"/>
      <c r="AN34" s="27"/>
      <c r="AO34" s="27"/>
      <c r="AP34" s="27"/>
      <c r="AY34" s="27"/>
      <c r="AZ34" s="27"/>
      <c r="BA34" s="27"/>
      <c r="BB34" s="27"/>
      <c r="BC34" s="28"/>
      <c r="BD34" s="29"/>
      <c r="BE34" s="29"/>
      <c r="BF34" s="27"/>
      <c r="BG34" s="27"/>
      <c r="BH34" s="27"/>
      <c r="BI34" s="27"/>
      <c r="BJ34" s="27"/>
      <c r="BK34" s="27"/>
      <c r="BL34" s="27"/>
      <c r="BM34" s="27"/>
    </row>
    <row r="35">
      <c r="I35" s="27"/>
      <c r="J35" s="27"/>
      <c r="K35" s="27"/>
      <c r="L35" s="27"/>
      <c r="M35" s="28"/>
      <c r="N35" s="29"/>
      <c r="O35" s="29"/>
      <c r="P35" s="29"/>
      <c r="Q35" s="27"/>
      <c r="R35" s="27"/>
      <c r="S35" s="27"/>
      <c r="T35" s="27"/>
      <c r="U35" s="27"/>
      <c r="V35" s="27"/>
      <c r="AE35" s="27"/>
      <c r="AF35" s="27"/>
      <c r="AG35" s="27"/>
      <c r="AH35" s="27"/>
      <c r="AI35" s="28"/>
      <c r="AJ35" s="29"/>
      <c r="AK35" s="29"/>
      <c r="AL35" s="27"/>
      <c r="AM35" s="27"/>
      <c r="AN35" s="27"/>
      <c r="AO35" s="27"/>
      <c r="AP35" s="27"/>
      <c r="AY35" s="27"/>
      <c r="AZ35" s="27"/>
      <c r="BA35" s="27"/>
      <c r="BB35" s="27"/>
      <c r="BC35" s="28"/>
      <c r="BD35" s="29"/>
      <c r="BE35" s="29"/>
      <c r="BF35" s="27"/>
      <c r="BG35" s="27"/>
      <c r="BH35" s="27"/>
      <c r="BI35" s="27"/>
      <c r="BJ35" s="27"/>
      <c r="BK35" s="27"/>
      <c r="BL35" s="27"/>
      <c r="BM35" s="27"/>
    </row>
    <row r="36">
      <c r="I36" s="27"/>
      <c r="J36" s="27"/>
      <c r="K36" s="27"/>
      <c r="L36" s="27"/>
      <c r="M36" s="28"/>
      <c r="N36" s="29"/>
      <c r="O36" s="29"/>
      <c r="P36" s="29"/>
      <c r="Q36" s="27"/>
      <c r="R36" s="27"/>
      <c r="S36" s="27"/>
      <c r="T36" s="27"/>
      <c r="U36" s="27"/>
      <c r="V36" s="27"/>
      <c r="AE36" s="27"/>
      <c r="AF36" s="27"/>
      <c r="AG36" s="27"/>
      <c r="AH36" s="27"/>
      <c r="AI36" s="28"/>
      <c r="AJ36" s="29"/>
      <c r="AK36" s="29"/>
      <c r="AL36" s="27"/>
      <c r="AM36" s="27"/>
      <c r="AN36" s="27"/>
      <c r="AO36" s="27"/>
      <c r="AP36" s="27"/>
      <c r="AY36" s="27"/>
      <c r="AZ36" s="27"/>
      <c r="BA36" s="27"/>
      <c r="BB36" s="27"/>
      <c r="BC36" s="28"/>
      <c r="BD36" s="29"/>
      <c r="BE36" s="29"/>
      <c r="BF36" s="27"/>
      <c r="BG36" s="27"/>
      <c r="BH36" s="27"/>
      <c r="BI36" s="27"/>
      <c r="BJ36" s="27"/>
      <c r="BK36" s="27"/>
      <c r="BL36" s="27"/>
      <c r="BM36" s="27"/>
    </row>
    <row r="37">
      <c r="I37" s="27"/>
      <c r="J37" s="27"/>
      <c r="K37" s="27"/>
      <c r="L37" s="27"/>
      <c r="M37" s="28"/>
      <c r="N37" s="29"/>
      <c r="O37" s="29"/>
      <c r="P37" s="29"/>
      <c r="Q37" s="27"/>
      <c r="R37" s="27"/>
      <c r="S37" s="27"/>
      <c r="T37" s="27"/>
      <c r="U37" s="27"/>
      <c r="V37" s="27"/>
      <c r="AE37" s="27"/>
      <c r="AF37" s="27"/>
      <c r="AG37" s="27"/>
      <c r="AH37" s="27"/>
      <c r="AI37" s="28"/>
      <c r="AJ37" s="29"/>
      <c r="AK37" s="29"/>
      <c r="AL37" s="27"/>
      <c r="AM37" s="27"/>
      <c r="AN37" s="27"/>
      <c r="AO37" s="27"/>
      <c r="AP37" s="27"/>
      <c r="AY37" s="27"/>
      <c r="AZ37" s="27"/>
      <c r="BA37" s="27"/>
      <c r="BB37" s="27"/>
      <c r="BC37" s="28"/>
      <c r="BD37" s="29"/>
      <c r="BE37" s="29"/>
      <c r="BF37" s="27"/>
      <c r="BG37" s="27"/>
      <c r="BH37" s="27"/>
      <c r="BI37" s="27"/>
      <c r="BJ37" s="27"/>
      <c r="BK37" s="27"/>
      <c r="BL37" s="27"/>
      <c r="BM37" s="27"/>
    </row>
    <row r="38">
      <c r="I38" s="27"/>
      <c r="J38" s="27"/>
      <c r="K38" s="27"/>
      <c r="L38" s="27"/>
      <c r="M38" s="28"/>
      <c r="N38" s="29"/>
      <c r="O38" s="29"/>
      <c r="P38" s="29"/>
      <c r="Q38" s="27"/>
      <c r="R38" s="27"/>
      <c r="S38" s="27"/>
      <c r="T38" s="27"/>
      <c r="U38" s="27"/>
      <c r="V38" s="27"/>
      <c r="AE38" s="27"/>
      <c r="AF38" s="27"/>
      <c r="AG38" s="27"/>
      <c r="AH38" s="27"/>
      <c r="AI38" s="28"/>
      <c r="AJ38" s="29"/>
      <c r="AK38" s="29"/>
      <c r="AL38" s="27"/>
      <c r="AM38" s="27"/>
      <c r="AN38" s="27"/>
      <c r="AO38" s="27"/>
      <c r="AP38" s="27"/>
      <c r="AY38" s="27"/>
      <c r="AZ38" s="27"/>
      <c r="BA38" s="27"/>
      <c r="BB38" s="27"/>
      <c r="BC38" s="28"/>
      <c r="BD38" s="29"/>
      <c r="BE38" s="29"/>
      <c r="BF38" s="27"/>
      <c r="BG38" s="27"/>
      <c r="BH38" s="27"/>
      <c r="BI38" s="27"/>
      <c r="BJ38" s="27"/>
      <c r="BK38" s="27"/>
      <c r="BL38" s="27"/>
      <c r="BM38" s="27"/>
    </row>
    <row r="39">
      <c r="I39" s="27"/>
      <c r="J39" s="27"/>
      <c r="K39" s="27"/>
      <c r="L39" s="27"/>
      <c r="M39" s="28"/>
      <c r="N39" s="29"/>
      <c r="O39" s="29"/>
      <c r="P39" s="29"/>
      <c r="Q39" s="27"/>
      <c r="R39" s="27"/>
      <c r="S39" s="27"/>
      <c r="T39" s="27"/>
      <c r="U39" s="27"/>
      <c r="V39" s="27"/>
      <c r="AE39" s="27"/>
      <c r="AF39" s="27"/>
      <c r="AG39" s="27"/>
      <c r="AH39" s="27"/>
      <c r="AI39" s="28"/>
      <c r="AJ39" s="29"/>
      <c r="AK39" s="29"/>
      <c r="AL39" s="27"/>
      <c r="AM39" s="27"/>
      <c r="AN39" s="27"/>
      <c r="AO39" s="27"/>
      <c r="AP39" s="27"/>
      <c r="AY39" s="27"/>
      <c r="AZ39" s="27"/>
      <c r="BA39" s="27"/>
      <c r="BB39" s="27"/>
      <c r="BC39" s="28"/>
      <c r="BD39" s="29"/>
      <c r="BE39" s="29"/>
      <c r="BF39" s="27"/>
      <c r="BG39" s="27"/>
      <c r="BH39" s="27"/>
      <c r="BI39" s="27"/>
      <c r="BJ39" s="27"/>
      <c r="BK39" s="27"/>
      <c r="BL39" s="27"/>
      <c r="BM39" s="27"/>
    </row>
    <row r="40">
      <c r="I40" s="27"/>
      <c r="J40" s="27"/>
      <c r="K40" s="27"/>
      <c r="L40" s="27"/>
      <c r="M40" s="28"/>
      <c r="N40" s="29"/>
      <c r="O40" s="29"/>
      <c r="P40" s="29"/>
      <c r="Q40" s="27"/>
      <c r="R40" s="27"/>
      <c r="S40" s="27"/>
      <c r="T40" s="27"/>
      <c r="U40" s="27"/>
      <c r="V40" s="27"/>
      <c r="AE40" s="27"/>
      <c r="AF40" s="27"/>
      <c r="AG40" s="27"/>
      <c r="AH40" s="27"/>
      <c r="AI40" s="28"/>
      <c r="AJ40" s="29"/>
      <c r="AK40" s="29"/>
      <c r="AL40" s="27"/>
      <c r="AM40" s="27"/>
      <c r="AN40" s="27"/>
      <c r="AO40" s="27"/>
      <c r="AP40" s="27"/>
      <c r="AY40" s="27"/>
      <c r="AZ40" s="27"/>
      <c r="BA40" s="27"/>
      <c r="BB40" s="27"/>
      <c r="BC40" s="28"/>
      <c r="BD40" s="29"/>
      <c r="BE40" s="29"/>
      <c r="BF40" s="27"/>
      <c r="BG40" s="27"/>
      <c r="BH40" s="27"/>
      <c r="BI40" s="27"/>
      <c r="BJ40" s="27"/>
      <c r="BK40" s="27"/>
      <c r="BL40" s="27"/>
      <c r="BM40" s="27"/>
    </row>
    <row r="41">
      <c r="I41" s="27"/>
      <c r="J41" s="27"/>
      <c r="K41" s="27"/>
      <c r="L41" s="27"/>
      <c r="M41" s="28"/>
      <c r="N41" s="29"/>
      <c r="O41" s="29"/>
      <c r="P41" s="29"/>
      <c r="Q41" s="27"/>
      <c r="R41" s="27"/>
      <c r="S41" s="27"/>
      <c r="T41" s="27"/>
      <c r="U41" s="27"/>
      <c r="V41" s="27"/>
      <c r="AE41" s="27"/>
      <c r="AF41" s="27"/>
      <c r="AG41" s="27"/>
      <c r="AH41" s="27"/>
      <c r="AI41" s="28"/>
      <c r="AJ41" s="29"/>
      <c r="AK41" s="29"/>
      <c r="AL41" s="27"/>
      <c r="AM41" s="27"/>
      <c r="AN41" s="27"/>
      <c r="AO41" s="27"/>
      <c r="AP41" s="27"/>
      <c r="AY41" s="27"/>
      <c r="AZ41" s="27"/>
      <c r="BA41" s="27"/>
      <c r="BB41" s="27"/>
      <c r="BC41" s="28"/>
      <c r="BD41" s="29"/>
      <c r="BE41" s="29"/>
      <c r="BF41" s="27"/>
      <c r="BG41" s="27"/>
      <c r="BH41" s="27"/>
      <c r="BI41" s="27"/>
      <c r="BJ41" s="27"/>
      <c r="BK41" s="27"/>
      <c r="BL41" s="27"/>
      <c r="BM41" s="27"/>
    </row>
    <row r="42">
      <c r="I42" s="27"/>
      <c r="J42" s="27"/>
      <c r="K42" s="27"/>
      <c r="L42" s="27"/>
      <c r="M42" s="28"/>
      <c r="N42" s="29"/>
      <c r="O42" s="29"/>
      <c r="P42" s="29"/>
      <c r="Q42" s="27"/>
      <c r="R42" s="27"/>
      <c r="S42" s="27"/>
      <c r="T42" s="27"/>
      <c r="U42" s="27"/>
      <c r="V42" s="27"/>
      <c r="AE42" s="27"/>
      <c r="AF42" s="27"/>
      <c r="AG42" s="27"/>
      <c r="AH42" s="27"/>
      <c r="AI42" s="28"/>
      <c r="AJ42" s="29"/>
      <c r="AK42" s="29"/>
      <c r="AL42" s="27"/>
      <c r="AM42" s="27"/>
      <c r="AN42" s="27"/>
      <c r="AO42" s="27"/>
      <c r="AP42" s="27"/>
      <c r="AY42" s="27"/>
      <c r="AZ42" s="27"/>
      <c r="BA42" s="27"/>
      <c r="BB42" s="27"/>
      <c r="BC42" s="28"/>
      <c r="BD42" s="29"/>
      <c r="BE42" s="29"/>
      <c r="BF42" s="27"/>
      <c r="BG42" s="27"/>
      <c r="BH42" s="27"/>
      <c r="BI42" s="27"/>
      <c r="BJ42" s="27"/>
      <c r="BK42" s="27"/>
      <c r="BL42" s="27"/>
      <c r="BM42" s="27"/>
    </row>
    <row r="43">
      <c r="I43" s="27"/>
      <c r="J43" s="27"/>
      <c r="K43" s="27"/>
      <c r="L43" s="27"/>
      <c r="M43" s="28"/>
      <c r="N43" s="29"/>
      <c r="O43" s="29"/>
      <c r="P43" s="29"/>
      <c r="Q43" s="27"/>
      <c r="R43" s="27"/>
      <c r="S43" s="27"/>
      <c r="T43" s="27"/>
      <c r="U43" s="27"/>
      <c r="V43" s="27"/>
      <c r="AE43" s="27"/>
      <c r="AF43" s="27"/>
      <c r="AG43" s="27"/>
      <c r="AH43" s="27"/>
      <c r="AI43" s="28"/>
      <c r="AJ43" s="29"/>
      <c r="AK43" s="29"/>
      <c r="AL43" s="27"/>
      <c r="AM43" s="27"/>
      <c r="AN43" s="27"/>
      <c r="AO43" s="27"/>
      <c r="AP43" s="27"/>
      <c r="AY43" s="27"/>
      <c r="AZ43" s="27"/>
      <c r="BA43" s="27"/>
      <c r="BB43" s="27"/>
      <c r="BC43" s="28"/>
      <c r="BD43" s="29"/>
      <c r="BE43" s="29"/>
      <c r="BF43" s="27"/>
      <c r="BG43" s="27"/>
      <c r="BH43" s="27"/>
      <c r="BI43" s="27"/>
      <c r="BJ43" s="27"/>
      <c r="BK43" s="27"/>
      <c r="BL43" s="27"/>
      <c r="BM43" s="27"/>
    </row>
    <row r="44">
      <c r="I44" s="27"/>
      <c r="J44" s="27"/>
      <c r="K44" s="27"/>
      <c r="L44" s="27"/>
      <c r="M44" s="28"/>
      <c r="N44" s="29"/>
      <c r="O44" s="29"/>
      <c r="P44" s="29"/>
      <c r="Q44" s="27"/>
      <c r="R44" s="27"/>
      <c r="S44" s="27"/>
      <c r="T44" s="27"/>
      <c r="U44" s="27"/>
      <c r="V44" s="27"/>
      <c r="AE44" s="27"/>
      <c r="AF44" s="27"/>
      <c r="AG44" s="27"/>
      <c r="AH44" s="27"/>
      <c r="AI44" s="28"/>
      <c r="AJ44" s="29"/>
      <c r="AK44" s="29"/>
      <c r="AL44" s="27"/>
      <c r="AM44" s="27"/>
      <c r="AN44" s="27"/>
      <c r="AO44" s="27"/>
      <c r="AP44" s="27"/>
      <c r="AY44" s="27"/>
      <c r="AZ44" s="27"/>
      <c r="BA44" s="27"/>
      <c r="BB44" s="27"/>
      <c r="BC44" s="28"/>
      <c r="BD44" s="29"/>
      <c r="BE44" s="29"/>
      <c r="BF44" s="27"/>
      <c r="BG44" s="27"/>
      <c r="BH44" s="27"/>
      <c r="BI44" s="27"/>
      <c r="BJ44" s="27"/>
      <c r="BK44" s="27"/>
      <c r="BL44" s="27"/>
      <c r="BM44" s="27"/>
    </row>
    <row r="45">
      <c r="I45" s="27"/>
      <c r="J45" s="27"/>
      <c r="K45" s="27"/>
      <c r="L45" s="27"/>
      <c r="M45" s="28"/>
      <c r="N45" s="29"/>
      <c r="O45" s="29"/>
      <c r="P45" s="29"/>
      <c r="Q45" s="27"/>
      <c r="R45" s="27"/>
      <c r="S45" s="27"/>
      <c r="T45" s="27"/>
      <c r="U45" s="27"/>
      <c r="V45" s="27"/>
      <c r="AE45" s="27"/>
      <c r="AF45" s="27"/>
      <c r="AG45" s="27"/>
      <c r="AH45" s="27"/>
      <c r="AI45" s="28"/>
      <c r="AJ45" s="29"/>
      <c r="AK45" s="29"/>
      <c r="AL45" s="27"/>
      <c r="AM45" s="27"/>
      <c r="AN45" s="27"/>
      <c r="AO45" s="27"/>
      <c r="AP45" s="27"/>
      <c r="AY45" s="27"/>
      <c r="AZ45" s="27"/>
      <c r="BA45" s="27"/>
      <c r="BB45" s="27"/>
      <c r="BC45" s="28"/>
      <c r="BD45" s="29"/>
      <c r="BE45" s="29"/>
      <c r="BF45" s="27"/>
      <c r="BG45" s="27"/>
      <c r="BH45" s="27"/>
      <c r="BI45" s="27"/>
      <c r="BJ45" s="27"/>
      <c r="BK45" s="27"/>
      <c r="BL45" s="27"/>
      <c r="BM45" s="27"/>
    </row>
    <row r="46">
      <c r="I46" s="27"/>
      <c r="J46" s="27"/>
      <c r="K46" s="27"/>
      <c r="L46" s="27"/>
      <c r="M46" s="28"/>
      <c r="N46" s="29"/>
      <c r="O46" s="29"/>
      <c r="P46" s="29"/>
      <c r="Q46" s="27"/>
      <c r="R46" s="27"/>
      <c r="S46" s="27"/>
      <c r="T46" s="27"/>
      <c r="U46" s="27"/>
      <c r="V46" s="27"/>
      <c r="AE46" s="27"/>
      <c r="AF46" s="27"/>
      <c r="AG46" s="27"/>
      <c r="AH46" s="27"/>
      <c r="AI46" s="28"/>
      <c r="AJ46" s="29"/>
      <c r="AK46" s="29"/>
      <c r="AL46" s="27"/>
      <c r="AM46" s="27"/>
      <c r="AN46" s="27"/>
      <c r="AO46" s="27"/>
      <c r="AP46" s="27"/>
      <c r="AY46" s="27"/>
      <c r="AZ46" s="27"/>
      <c r="BA46" s="27"/>
      <c r="BB46" s="27"/>
      <c r="BC46" s="28"/>
      <c r="BD46" s="29"/>
      <c r="BE46" s="29"/>
      <c r="BF46" s="27"/>
      <c r="BG46" s="27"/>
      <c r="BH46" s="27"/>
      <c r="BI46" s="27"/>
      <c r="BJ46" s="27"/>
      <c r="BK46" s="27"/>
      <c r="BL46" s="27"/>
      <c r="BM46" s="27"/>
    </row>
    <row r="47">
      <c r="I47" s="27"/>
      <c r="J47" s="27"/>
      <c r="K47" s="27"/>
      <c r="L47" s="27"/>
      <c r="M47" s="28"/>
      <c r="N47" s="29"/>
      <c r="O47" s="29"/>
      <c r="P47" s="29"/>
      <c r="Q47" s="27"/>
      <c r="R47" s="27"/>
      <c r="S47" s="27"/>
      <c r="T47" s="27"/>
      <c r="U47" s="27"/>
      <c r="V47" s="27"/>
      <c r="AE47" s="27"/>
      <c r="AF47" s="27"/>
      <c r="AG47" s="27"/>
      <c r="AH47" s="27"/>
      <c r="AI47" s="28"/>
      <c r="AJ47" s="29"/>
      <c r="AK47" s="29"/>
      <c r="AL47" s="27"/>
      <c r="AM47" s="27"/>
      <c r="AN47" s="27"/>
      <c r="AO47" s="27"/>
      <c r="AP47" s="27"/>
      <c r="AY47" s="27"/>
      <c r="AZ47" s="27"/>
      <c r="BA47" s="27"/>
      <c r="BB47" s="27"/>
      <c r="BC47" s="28"/>
      <c r="BD47" s="29"/>
      <c r="BE47" s="29"/>
      <c r="BF47" s="27"/>
      <c r="BG47" s="27"/>
      <c r="BH47" s="27"/>
      <c r="BI47" s="27"/>
      <c r="BJ47" s="27"/>
      <c r="BK47" s="27"/>
      <c r="BL47" s="27"/>
      <c r="BM47" s="27"/>
    </row>
    <row r="48">
      <c r="I48" s="27"/>
      <c r="J48" s="27"/>
      <c r="K48" s="27"/>
      <c r="L48" s="27"/>
      <c r="M48" s="28"/>
      <c r="N48" s="29"/>
      <c r="O48" s="29"/>
      <c r="P48" s="29"/>
      <c r="Q48" s="27"/>
      <c r="R48" s="27"/>
      <c r="S48" s="27"/>
      <c r="T48" s="27"/>
      <c r="U48" s="27"/>
      <c r="V48" s="27"/>
      <c r="AE48" s="27"/>
      <c r="AF48" s="27"/>
      <c r="AG48" s="27"/>
      <c r="AH48" s="27"/>
      <c r="AI48" s="28"/>
      <c r="AJ48" s="29"/>
      <c r="AK48" s="29"/>
      <c r="AL48" s="27"/>
      <c r="AM48" s="27"/>
      <c r="AN48" s="27"/>
      <c r="AO48" s="27"/>
      <c r="AP48" s="27"/>
      <c r="AY48" s="27"/>
      <c r="AZ48" s="27"/>
      <c r="BA48" s="27"/>
      <c r="BB48" s="27"/>
      <c r="BC48" s="28"/>
      <c r="BD48" s="29"/>
      <c r="BE48" s="29"/>
      <c r="BF48" s="27"/>
      <c r="BG48" s="27"/>
      <c r="BH48" s="27"/>
      <c r="BI48" s="27"/>
      <c r="BJ48" s="27"/>
      <c r="BK48" s="27"/>
      <c r="BL48" s="27"/>
      <c r="BM48" s="27"/>
    </row>
    <row r="49">
      <c r="I49" s="27"/>
      <c r="J49" s="27"/>
      <c r="K49" s="27"/>
      <c r="L49" s="27"/>
      <c r="M49" s="28"/>
      <c r="N49" s="29"/>
      <c r="O49" s="29"/>
      <c r="P49" s="29"/>
      <c r="Q49" s="27"/>
      <c r="R49" s="27"/>
      <c r="S49" s="27"/>
      <c r="T49" s="27"/>
      <c r="U49" s="27"/>
      <c r="V49" s="27"/>
      <c r="AE49" s="27"/>
      <c r="AF49" s="27"/>
      <c r="AG49" s="27"/>
      <c r="AH49" s="27"/>
      <c r="AI49" s="28"/>
      <c r="AJ49" s="29"/>
      <c r="AK49" s="29"/>
      <c r="AL49" s="27"/>
      <c r="AM49" s="27"/>
      <c r="AN49" s="27"/>
      <c r="AO49" s="27"/>
      <c r="AP49" s="27"/>
      <c r="AY49" s="27"/>
      <c r="AZ49" s="27"/>
      <c r="BA49" s="27"/>
      <c r="BB49" s="27"/>
      <c r="BC49" s="28"/>
      <c r="BD49" s="29"/>
      <c r="BE49" s="29"/>
      <c r="BF49" s="27"/>
      <c r="BG49" s="27"/>
      <c r="BH49" s="27"/>
      <c r="BI49" s="27"/>
      <c r="BJ49" s="27"/>
      <c r="BK49" s="27"/>
      <c r="BL49" s="27"/>
      <c r="BM49" s="27"/>
    </row>
    <row r="50">
      <c r="I50" s="27"/>
      <c r="J50" s="27"/>
      <c r="K50" s="27"/>
      <c r="L50" s="27"/>
      <c r="M50" s="28"/>
      <c r="N50" s="29"/>
      <c r="O50" s="29"/>
      <c r="P50" s="29"/>
      <c r="Q50" s="27"/>
      <c r="R50" s="27"/>
      <c r="S50" s="27"/>
      <c r="T50" s="27"/>
      <c r="U50" s="27"/>
      <c r="V50" s="27"/>
      <c r="AE50" s="27"/>
      <c r="AF50" s="27"/>
      <c r="AG50" s="27"/>
      <c r="AH50" s="27"/>
      <c r="AI50" s="28"/>
      <c r="AJ50" s="29"/>
      <c r="AK50" s="29"/>
      <c r="AL50" s="27"/>
      <c r="AM50" s="27"/>
      <c r="AN50" s="27"/>
      <c r="AO50" s="27"/>
      <c r="AP50" s="27"/>
      <c r="AY50" s="27"/>
      <c r="AZ50" s="27"/>
      <c r="BA50" s="27"/>
      <c r="BB50" s="27"/>
      <c r="BC50" s="28"/>
      <c r="BD50" s="29"/>
      <c r="BE50" s="29"/>
      <c r="BF50" s="27"/>
      <c r="BG50" s="27"/>
      <c r="BH50" s="27"/>
      <c r="BI50" s="27"/>
      <c r="BJ50" s="27"/>
      <c r="BK50" s="27"/>
      <c r="BL50" s="27"/>
      <c r="BM50" s="27"/>
    </row>
    <row r="51">
      <c r="I51" s="27"/>
      <c r="J51" s="27"/>
      <c r="K51" s="27"/>
      <c r="L51" s="27"/>
      <c r="M51" s="28"/>
      <c r="N51" s="29"/>
      <c r="O51" s="29"/>
      <c r="P51" s="29"/>
      <c r="Q51" s="27"/>
      <c r="R51" s="27"/>
      <c r="S51" s="27"/>
      <c r="T51" s="27"/>
      <c r="U51" s="27"/>
      <c r="V51" s="27"/>
      <c r="AE51" s="27"/>
      <c r="AF51" s="27"/>
      <c r="AG51" s="27"/>
      <c r="AH51" s="27"/>
      <c r="AI51" s="28"/>
      <c r="AJ51" s="29"/>
      <c r="AK51" s="29"/>
      <c r="AL51" s="27"/>
      <c r="AM51" s="27"/>
      <c r="AN51" s="27"/>
      <c r="AO51" s="27"/>
      <c r="AP51" s="27"/>
      <c r="AY51" s="27"/>
      <c r="AZ51" s="27"/>
      <c r="BA51" s="27"/>
      <c r="BB51" s="27"/>
      <c r="BC51" s="28"/>
      <c r="BD51" s="29"/>
      <c r="BE51" s="29"/>
      <c r="BF51" s="27"/>
      <c r="BG51" s="27"/>
      <c r="BH51" s="27"/>
      <c r="BI51" s="27"/>
      <c r="BJ51" s="27"/>
      <c r="BK51" s="27"/>
      <c r="BL51" s="27"/>
      <c r="BM51" s="27"/>
    </row>
    <row r="52">
      <c r="I52" s="27"/>
      <c r="J52" s="27"/>
      <c r="K52" s="27"/>
      <c r="L52" s="27"/>
      <c r="M52" s="28"/>
      <c r="N52" s="29"/>
      <c r="O52" s="29"/>
      <c r="P52" s="29"/>
      <c r="Q52" s="27"/>
      <c r="R52" s="27"/>
      <c r="S52" s="27"/>
      <c r="T52" s="27"/>
      <c r="U52" s="27"/>
      <c r="V52" s="27"/>
      <c r="AE52" s="27"/>
      <c r="AF52" s="27"/>
      <c r="AG52" s="27"/>
      <c r="AH52" s="27"/>
      <c r="AI52" s="28"/>
      <c r="AJ52" s="29"/>
      <c r="AK52" s="29"/>
      <c r="AL52" s="27"/>
      <c r="AM52" s="27"/>
      <c r="AN52" s="27"/>
      <c r="AO52" s="27"/>
      <c r="AP52" s="27"/>
      <c r="AY52" s="27"/>
      <c r="AZ52" s="27"/>
      <c r="BA52" s="27"/>
      <c r="BB52" s="27"/>
      <c r="BC52" s="28"/>
      <c r="BD52" s="29"/>
      <c r="BE52" s="29"/>
      <c r="BF52" s="27"/>
      <c r="BG52" s="27"/>
      <c r="BH52" s="27"/>
      <c r="BI52" s="27"/>
      <c r="BJ52" s="27"/>
      <c r="BK52" s="27"/>
      <c r="BL52" s="27"/>
      <c r="BM52" s="27"/>
    </row>
    <row r="53">
      <c r="I53" s="27"/>
      <c r="J53" s="27"/>
      <c r="K53" s="27"/>
      <c r="L53" s="27"/>
      <c r="M53" s="28"/>
      <c r="N53" s="29"/>
      <c r="O53" s="29"/>
      <c r="P53" s="29"/>
      <c r="Q53" s="27"/>
      <c r="R53" s="27"/>
      <c r="S53" s="27"/>
      <c r="T53" s="27"/>
      <c r="U53" s="27"/>
      <c r="V53" s="27"/>
      <c r="AE53" s="27"/>
      <c r="AF53" s="27"/>
      <c r="AG53" s="27"/>
      <c r="AH53" s="27"/>
      <c r="AI53" s="28"/>
      <c r="AJ53" s="29"/>
      <c r="AK53" s="29"/>
      <c r="AL53" s="27"/>
      <c r="AM53" s="27"/>
      <c r="AN53" s="27"/>
      <c r="AO53" s="27"/>
      <c r="AP53" s="27"/>
      <c r="AY53" s="27"/>
      <c r="AZ53" s="27"/>
      <c r="BA53" s="27"/>
      <c r="BB53" s="27"/>
      <c r="BC53" s="28"/>
      <c r="BD53" s="29"/>
      <c r="BE53" s="29"/>
      <c r="BF53" s="27"/>
      <c r="BG53" s="27"/>
      <c r="BH53" s="27"/>
      <c r="BI53" s="27"/>
      <c r="BJ53" s="27"/>
      <c r="BK53" s="27"/>
      <c r="BL53" s="27"/>
      <c r="BM53" s="27"/>
    </row>
    <row r="54">
      <c r="I54" s="27"/>
      <c r="J54" s="27"/>
      <c r="K54" s="27"/>
      <c r="L54" s="27"/>
      <c r="M54" s="28"/>
      <c r="N54" s="29"/>
      <c r="O54" s="29"/>
      <c r="P54" s="29"/>
      <c r="Q54" s="27"/>
      <c r="R54" s="27"/>
      <c r="S54" s="27"/>
      <c r="T54" s="27"/>
      <c r="U54" s="27"/>
      <c r="V54" s="27"/>
      <c r="AE54" s="27"/>
      <c r="AF54" s="27"/>
      <c r="AG54" s="27"/>
      <c r="AH54" s="27"/>
      <c r="AI54" s="28"/>
      <c r="AJ54" s="29"/>
      <c r="AK54" s="29"/>
      <c r="AL54" s="27"/>
      <c r="AM54" s="27"/>
      <c r="AN54" s="27"/>
      <c r="AO54" s="27"/>
      <c r="AP54" s="27"/>
      <c r="AY54" s="27"/>
      <c r="AZ54" s="27"/>
      <c r="BA54" s="27"/>
      <c r="BB54" s="27"/>
      <c r="BC54" s="28"/>
      <c r="BD54" s="29"/>
      <c r="BE54" s="29"/>
      <c r="BF54" s="27"/>
      <c r="BG54" s="27"/>
      <c r="BH54" s="27"/>
      <c r="BI54" s="27"/>
      <c r="BJ54" s="27"/>
      <c r="BK54" s="27"/>
      <c r="BL54" s="27"/>
      <c r="BM54" s="27"/>
    </row>
    <row r="55">
      <c r="I55" s="27"/>
      <c r="J55" s="27"/>
      <c r="K55" s="27"/>
      <c r="L55" s="27"/>
      <c r="M55" s="28"/>
      <c r="N55" s="29"/>
      <c r="O55" s="29"/>
      <c r="P55" s="29"/>
      <c r="Q55" s="27"/>
      <c r="R55" s="27"/>
      <c r="S55" s="27"/>
      <c r="T55" s="27"/>
      <c r="U55" s="27"/>
      <c r="V55" s="27"/>
      <c r="AE55" s="27"/>
      <c r="AF55" s="27"/>
      <c r="AG55" s="27"/>
      <c r="AH55" s="27"/>
      <c r="AI55" s="28"/>
      <c r="AJ55" s="29"/>
      <c r="AK55" s="29"/>
      <c r="AL55" s="27"/>
      <c r="AM55" s="27"/>
      <c r="AN55" s="27"/>
      <c r="AO55" s="27"/>
      <c r="AP55" s="27"/>
      <c r="AY55" s="27"/>
      <c r="AZ55" s="27"/>
      <c r="BA55" s="27"/>
      <c r="BB55" s="27"/>
      <c r="BC55" s="28"/>
      <c r="BD55" s="29"/>
      <c r="BE55" s="29"/>
      <c r="BF55" s="27"/>
      <c r="BG55" s="27"/>
      <c r="BH55" s="27"/>
      <c r="BI55" s="27"/>
      <c r="BJ55" s="27"/>
      <c r="BK55" s="27"/>
      <c r="BL55" s="27"/>
      <c r="BM55" s="27"/>
    </row>
    <row r="56">
      <c r="I56" s="27"/>
      <c r="J56" s="27"/>
      <c r="K56" s="27"/>
      <c r="L56" s="27"/>
      <c r="M56" s="28"/>
      <c r="N56" s="29"/>
      <c r="O56" s="29"/>
      <c r="P56" s="29"/>
      <c r="Q56" s="27"/>
      <c r="R56" s="27"/>
      <c r="S56" s="27"/>
      <c r="T56" s="27"/>
      <c r="U56" s="27"/>
      <c r="V56" s="27"/>
      <c r="AE56" s="27"/>
      <c r="AF56" s="27"/>
      <c r="AG56" s="27"/>
      <c r="AH56" s="27"/>
      <c r="AI56" s="28"/>
      <c r="AJ56" s="29"/>
      <c r="AK56" s="29"/>
      <c r="AL56" s="27"/>
      <c r="AM56" s="27"/>
      <c r="AN56" s="27"/>
      <c r="AO56" s="27"/>
      <c r="AP56" s="27"/>
      <c r="AY56" s="27"/>
      <c r="AZ56" s="27"/>
      <c r="BA56" s="27"/>
      <c r="BB56" s="27"/>
      <c r="BC56" s="28"/>
      <c r="BD56" s="29"/>
      <c r="BE56" s="29"/>
      <c r="BF56" s="27"/>
      <c r="BG56" s="27"/>
      <c r="BH56" s="27"/>
      <c r="BI56" s="27"/>
      <c r="BJ56" s="27"/>
      <c r="BK56" s="27"/>
      <c r="BL56" s="27"/>
      <c r="BM56" s="27"/>
    </row>
    <row r="57">
      <c r="I57" s="27"/>
      <c r="J57" s="27"/>
      <c r="K57" s="27"/>
      <c r="L57" s="27"/>
      <c r="M57" s="28"/>
      <c r="N57" s="29"/>
      <c r="O57" s="29"/>
      <c r="P57" s="29"/>
      <c r="Q57" s="27"/>
      <c r="R57" s="27"/>
      <c r="S57" s="27"/>
      <c r="T57" s="27"/>
      <c r="U57" s="27"/>
      <c r="V57" s="27"/>
      <c r="AE57" s="27"/>
      <c r="AF57" s="27"/>
      <c r="AG57" s="27"/>
      <c r="AH57" s="27"/>
      <c r="AI57" s="28"/>
      <c r="AJ57" s="29"/>
      <c r="AK57" s="29"/>
      <c r="AL57" s="27"/>
      <c r="AM57" s="27"/>
      <c r="AN57" s="27"/>
      <c r="AO57" s="27"/>
      <c r="AP57" s="27"/>
      <c r="AY57" s="27"/>
      <c r="AZ57" s="27"/>
      <c r="BA57" s="27"/>
      <c r="BB57" s="27"/>
      <c r="BC57" s="28"/>
      <c r="BD57" s="29"/>
      <c r="BE57" s="29"/>
      <c r="BF57" s="27"/>
      <c r="BG57" s="27"/>
      <c r="BH57" s="27"/>
      <c r="BI57" s="27"/>
      <c r="BJ57" s="27"/>
      <c r="BK57" s="27"/>
      <c r="BL57" s="27"/>
      <c r="BM57" s="27"/>
    </row>
    <row r="58">
      <c r="I58" s="27"/>
      <c r="J58" s="27"/>
      <c r="K58" s="27"/>
      <c r="L58" s="27"/>
      <c r="M58" s="28"/>
      <c r="N58" s="29"/>
      <c r="O58" s="29"/>
      <c r="P58" s="29"/>
      <c r="Q58" s="27"/>
      <c r="R58" s="27"/>
      <c r="S58" s="27"/>
      <c r="T58" s="27"/>
      <c r="U58" s="27"/>
      <c r="V58" s="27"/>
      <c r="AE58" s="27"/>
      <c r="AF58" s="27"/>
      <c r="AG58" s="27"/>
      <c r="AH58" s="27"/>
      <c r="AI58" s="28"/>
      <c r="AJ58" s="29"/>
      <c r="AK58" s="29"/>
      <c r="AL58" s="27"/>
      <c r="AM58" s="27"/>
      <c r="AN58" s="27"/>
      <c r="AO58" s="27"/>
      <c r="AP58" s="27"/>
      <c r="AY58" s="27"/>
      <c r="AZ58" s="27"/>
      <c r="BA58" s="27"/>
      <c r="BB58" s="27"/>
      <c r="BC58" s="28"/>
      <c r="BD58" s="29"/>
      <c r="BE58" s="29"/>
      <c r="BF58" s="27"/>
      <c r="BG58" s="27"/>
      <c r="BH58" s="27"/>
      <c r="BI58" s="27"/>
      <c r="BJ58" s="27"/>
      <c r="BK58" s="27"/>
      <c r="BL58" s="27"/>
      <c r="BM58" s="27"/>
    </row>
    <row r="59">
      <c r="I59" s="27"/>
      <c r="J59" s="27"/>
      <c r="K59" s="27"/>
      <c r="L59" s="27"/>
      <c r="M59" s="28"/>
      <c r="N59" s="29"/>
      <c r="O59" s="29"/>
      <c r="P59" s="29"/>
      <c r="Q59" s="27"/>
      <c r="R59" s="27"/>
      <c r="S59" s="27"/>
      <c r="T59" s="27"/>
      <c r="U59" s="27"/>
      <c r="V59" s="27"/>
      <c r="AE59" s="27"/>
      <c r="AF59" s="27"/>
      <c r="AG59" s="27"/>
      <c r="AH59" s="27"/>
      <c r="AI59" s="28"/>
      <c r="AJ59" s="29"/>
      <c r="AK59" s="29"/>
      <c r="AL59" s="27"/>
      <c r="AM59" s="27"/>
      <c r="AN59" s="27"/>
      <c r="AO59" s="27"/>
      <c r="AP59" s="27"/>
      <c r="AY59" s="27"/>
      <c r="AZ59" s="27"/>
      <c r="BA59" s="27"/>
      <c r="BB59" s="27"/>
      <c r="BC59" s="28"/>
      <c r="BD59" s="29"/>
      <c r="BE59" s="29"/>
      <c r="BF59" s="27"/>
      <c r="BG59" s="27"/>
      <c r="BH59" s="27"/>
      <c r="BI59" s="27"/>
      <c r="BJ59" s="27"/>
      <c r="BK59" s="27"/>
      <c r="BL59" s="27"/>
      <c r="BM59" s="27"/>
    </row>
    <row r="60">
      <c r="I60" s="27"/>
      <c r="J60" s="27"/>
      <c r="K60" s="27"/>
      <c r="L60" s="27"/>
      <c r="M60" s="28"/>
      <c r="N60" s="29"/>
      <c r="O60" s="29"/>
      <c r="P60" s="29"/>
      <c r="Q60" s="27"/>
      <c r="R60" s="27"/>
      <c r="S60" s="27"/>
      <c r="T60" s="27"/>
      <c r="U60" s="27"/>
      <c r="V60" s="27"/>
      <c r="AE60" s="27"/>
      <c r="AF60" s="27"/>
      <c r="AG60" s="27"/>
      <c r="AH60" s="27"/>
      <c r="AI60" s="28"/>
      <c r="AJ60" s="29"/>
      <c r="AK60" s="29"/>
      <c r="AL60" s="27"/>
      <c r="AM60" s="27"/>
      <c r="AN60" s="27"/>
      <c r="AO60" s="27"/>
      <c r="AP60" s="27"/>
      <c r="AY60" s="27"/>
      <c r="AZ60" s="27"/>
      <c r="BA60" s="27"/>
      <c r="BB60" s="27"/>
      <c r="BC60" s="28"/>
      <c r="BD60" s="29"/>
      <c r="BE60" s="29"/>
      <c r="BF60" s="27"/>
      <c r="BG60" s="27"/>
      <c r="BH60" s="27"/>
      <c r="BI60" s="27"/>
      <c r="BJ60" s="27"/>
      <c r="BK60" s="27"/>
      <c r="BL60" s="27"/>
      <c r="BM60" s="27"/>
    </row>
    <row r="61">
      <c r="I61" s="27"/>
      <c r="J61" s="27"/>
      <c r="K61" s="27"/>
      <c r="L61" s="27"/>
      <c r="M61" s="28"/>
      <c r="N61" s="29"/>
      <c r="O61" s="29"/>
      <c r="P61" s="29"/>
      <c r="Q61" s="27"/>
      <c r="R61" s="27"/>
      <c r="S61" s="27"/>
      <c r="T61" s="27"/>
      <c r="U61" s="27"/>
      <c r="V61" s="27"/>
      <c r="AE61" s="27"/>
      <c r="AF61" s="27"/>
      <c r="AG61" s="27"/>
      <c r="AH61" s="27"/>
      <c r="AI61" s="28"/>
      <c r="AJ61" s="29"/>
      <c r="AK61" s="29"/>
      <c r="AL61" s="27"/>
      <c r="AM61" s="27"/>
      <c r="AN61" s="27"/>
      <c r="AO61" s="27"/>
      <c r="AP61" s="27"/>
      <c r="AY61" s="27"/>
      <c r="AZ61" s="27"/>
      <c r="BA61" s="27"/>
      <c r="BB61" s="27"/>
      <c r="BC61" s="28"/>
      <c r="BD61" s="29"/>
      <c r="BE61" s="29"/>
      <c r="BF61" s="27"/>
      <c r="BG61" s="27"/>
      <c r="BH61" s="27"/>
      <c r="BI61" s="27"/>
      <c r="BJ61" s="27"/>
      <c r="BK61" s="27"/>
      <c r="BL61" s="27"/>
      <c r="BM61" s="27"/>
    </row>
    <row r="62">
      <c r="I62" s="27"/>
      <c r="J62" s="27"/>
      <c r="K62" s="27"/>
      <c r="L62" s="27"/>
      <c r="M62" s="28"/>
      <c r="N62" s="29"/>
      <c r="O62" s="29"/>
      <c r="P62" s="29"/>
      <c r="Q62" s="27"/>
      <c r="R62" s="27"/>
      <c r="S62" s="27"/>
      <c r="T62" s="27"/>
      <c r="U62" s="27"/>
      <c r="V62" s="27"/>
      <c r="AE62" s="27"/>
      <c r="AF62" s="27"/>
      <c r="AG62" s="27"/>
      <c r="AH62" s="27"/>
      <c r="AI62" s="28"/>
      <c r="AJ62" s="29"/>
      <c r="AK62" s="29"/>
      <c r="AL62" s="27"/>
      <c r="AM62" s="27"/>
      <c r="AN62" s="27"/>
      <c r="AO62" s="27"/>
      <c r="AP62" s="27"/>
      <c r="AY62" s="27"/>
      <c r="AZ62" s="27"/>
      <c r="BA62" s="27"/>
      <c r="BB62" s="27"/>
      <c r="BC62" s="28"/>
      <c r="BD62" s="29"/>
      <c r="BE62" s="29"/>
      <c r="BF62" s="27"/>
      <c r="BG62" s="27"/>
      <c r="BH62" s="27"/>
      <c r="BI62" s="27"/>
      <c r="BJ62" s="27"/>
      <c r="BK62" s="27"/>
      <c r="BL62" s="27"/>
      <c r="BM62" s="27"/>
    </row>
    <row r="63">
      <c r="I63" s="27"/>
      <c r="J63" s="27"/>
      <c r="K63" s="27"/>
      <c r="L63" s="27"/>
      <c r="M63" s="28"/>
      <c r="N63" s="29"/>
      <c r="O63" s="29"/>
      <c r="P63" s="29"/>
      <c r="Q63" s="27"/>
      <c r="R63" s="27"/>
      <c r="S63" s="27"/>
      <c r="T63" s="27"/>
      <c r="U63" s="27"/>
      <c r="V63" s="27"/>
      <c r="AE63" s="27"/>
      <c r="AF63" s="27"/>
      <c r="AG63" s="27"/>
      <c r="AH63" s="27"/>
      <c r="AI63" s="28"/>
      <c r="AJ63" s="29"/>
      <c r="AK63" s="29"/>
      <c r="AL63" s="27"/>
      <c r="AM63" s="27"/>
      <c r="AN63" s="27"/>
      <c r="AO63" s="27"/>
      <c r="AP63" s="27"/>
      <c r="AY63" s="27"/>
      <c r="AZ63" s="27"/>
      <c r="BA63" s="27"/>
      <c r="BB63" s="27"/>
      <c r="BC63" s="28"/>
      <c r="BD63" s="29"/>
      <c r="BE63" s="29"/>
      <c r="BF63" s="27"/>
      <c r="BG63" s="27"/>
      <c r="BH63" s="27"/>
      <c r="BI63" s="27"/>
      <c r="BJ63" s="27"/>
      <c r="BK63" s="27"/>
      <c r="BL63" s="27"/>
      <c r="BM63" s="27"/>
    </row>
    <row r="64">
      <c r="I64" s="27"/>
      <c r="J64" s="27"/>
      <c r="K64" s="27"/>
      <c r="L64" s="27"/>
      <c r="M64" s="28"/>
      <c r="N64" s="29"/>
      <c r="O64" s="29"/>
      <c r="P64" s="29"/>
      <c r="Q64" s="27"/>
      <c r="R64" s="27"/>
      <c r="S64" s="27"/>
      <c r="T64" s="27"/>
      <c r="U64" s="27"/>
      <c r="V64" s="27"/>
      <c r="AE64" s="27"/>
      <c r="AF64" s="27"/>
      <c r="AG64" s="27"/>
      <c r="AH64" s="27"/>
      <c r="AI64" s="28"/>
      <c r="AJ64" s="29"/>
      <c r="AK64" s="29"/>
      <c r="AL64" s="27"/>
      <c r="AM64" s="27"/>
      <c r="AN64" s="27"/>
      <c r="AO64" s="27"/>
      <c r="AP64" s="27"/>
      <c r="AY64" s="27"/>
      <c r="AZ64" s="27"/>
      <c r="BA64" s="27"/>
      <c r="BB64" s="27"/>
      <c r="BC64" s="28"/>
      <c r="BD64" s="29"/>
      <c r="BE64" s="29"/>
      <c r="BF64" s="27"/>
      <c r="BG64" s="27"/>
      <c r="BH64" s="27"/>
      <c r="BI64" s="27"/>
      <c r="BJ64" s="27"/>
      <c r="BK64" s="27"/>
      <c r="BL64" s="27"/>
      <c r="BM64" s="27"/>
    </row>
    <row r="65">
      <c r="I65" s="27"/>
      <c r="J65" s="27"/>
      <c r="K65" s="27"/>
      <c r="L65" s="27"/>
      <c r="M65" s="28"/>
      <c r="N65" s="29"/>
      <c r="O65" s="29"/>
      <c r="P65" s="29"/>
      <c r="Q65" s="27"/>
      <c r="R65" s="27"/>
      <c r="S65" s="27"/>
      <c r="T65" s="27"/>
      <c r="U65" s="27"/>
      <c r="V65" s="27"/>
      <c r="AE65" s="27"/>
      <c r="AF65" s="27"/>
      <c r="AG65" s="27"/>
      <c r="AH65" s="27"/>
      <c r="AI65" s="28"/>
      <c r="AJ65" s="29"/>
      <c r="AK65" s="29"/>
      <c r="AL65" s="27"/>
      <c r="AM65" s="27"/>
      <c r="AN65" s="27"/>
      <c r="AO65" s="27"/>
      <c r="AP65" s="27"/>
      <c r="AY65" s="27"/>
      <c r="AZ65" s="27"/>
      <c r="BA65" s="27"/>
      <c r="BB65" s="27"/>
      <c r="BC65" s="28"/>
      <c r="BD65" s="29"/>
      <c r="BE65" s="29"/>
      <c r="BF65" s="27"/>
      <c r="BG65" s="27"/>
      <c r="BH65" s="27"/>
      <c r="BI65" s="27"/>
      <c r="BJ65" s="27"/>
      <c r="BK65" s="27"/>
      <c r="BL65" s="27"/>
      <c r="BM65" s="27"/>
    </row>
    <row r="66">
      <c r="I66" s="27"/>
      <c r="J66" s="27"/>
      <c r="K66" s="27"/>
      <c r="L66" s="27"/>
      <c r="M66" s="28"/>
      <c r="N66" s="29"/>
      <c r="O66" s="29"/>
      <c r="P66" s="29"/>
      <c r="Q66" s="27"/>
      <c r="R66" s="27"/>
      <c r="S66" s="27"/>
      <c r="T66" s="27"/>
      <c r="U66" s="27"/>
      <c r="V66" s="27"/>
      <c r="AE66" s="27"/>
      <c r="AF66" s="27"/>
      <c r="AG66" s="27"/>
      <c r="AH66" s="27"/>
      <c r="AI66" s="28"/>
      <c r="AJ66" s="29"/>
      <c r="AK66" s="29"/>
      <c r="AL66" s="27"/>
      <c r="AM66" s="27"/>
      <c r="AN66" s="27"/>
      <c r="AO66" s="27"/>
      <c r="AP66" s="27"/>
      <c r="AY66" s="27"/>
      <c r="AZ66" s="27"/>
      <c r="BA66" s="27"/>
      <c r="BB66" s="27"/>
      <c r="BC66" s="28"/>
      <c r="BD66" s="29"/>
      <c r="BE66" s="29"/>
      <c r="BF66" s="27"/>
      <c r="BG66" s="27"/>
      <c r="BH66" s="27"/>
      <c r="BI66" s="27"/>
      <c r="BJ66" s="27"/>
      <c r="BK66" s="27"/>
      <c r="BL66" s="27"/>
      <c r="BM66" s="27"/>
    </row>
    <row r="67">
      <c r="I67" s="27"/>
      <c r="J67" s="27"/>
      <c r="K67" s="27"/>
      <c r="L67" s="27"/>
      <c r="M67" s="28"/>
      <c r="N67" s="29"/>
      <c r="O67" s="29"/>
      <c r="P67" s="29"/>
      <c r="Q67" s="27"/>
      <c r="R67" s="27"/>
      <c r="S67" s="27"/>
      <c r="T67" s="27"/>
      <c r="U67" s="27"/>
      <c r="V67" s="27"/>
      <c r="AE67" s="27"/>
      <c r="AF67" s="27"/>
      <c r="AG67" s="27"/>
      <c r="AH67" s="27"/>
      <c r="AI67" s="28"/>
      <c r="AJ67" s="29"/>
      <c r="AK67" s="29"/>
      <c r="AL67" s="27"/>
      <c r="AM67" s="27"/>
      <c r="AN67" s="27"/>
      <c r="AO67" s="27"/>
      <c r="AP67" s="27"/>
      <c r="AY67" s="27"/>
      <c r="AZ67" s="27"/>
      <c r="BA67" s="27"/>
      <c r="BB67" s="27"/>
      <c r="BC67" s="28"/>
      <c r="BD67" s="29"/>
      <c r="BE67" s="29"/>
      <c r="BF67" s="27"/>
      <c r="BG67" s="27"/>
      <c r="BH67" s="27"/>
      <c r="BI67" s="27"/>
      <c r="BJ67" s="27"/>
      <c r="BK67" s="27"/>
      <c r="BL67" s="27"/>
      <c r="BM67" s="27"/>
    </row>
    <row r="68">
      <c r="I68" s="27"/>
      <c r="J68" s="27"/>
      <c r="K68" s="27"/>
      <c r="L68" s="27"/>
      <c r="M68" s="28"/>
      <c r="N68" s="29"/>
      <c r="O68" s="29"/>
      <c r="P68" s="29"/>
      <c r="Q68" s="27"/>
      <c r="R68" s="27"/>
      <c r="S68" s="27"/>
      <c r="T68" s="27"/>
      <c r="U68" s="27"/>
      <c r="V68" s="27"/>
      <c r="AE68" s="27"/>
      <c r="AF68" s="27"/>
      <c r="AG68" s="27"/>
      <c r="AH68" s="27"/>
      <c r="AI68" s="28"/>
      <c r="AJ68" s="29"/>
      <c r="AK68" s="29"/>
      <c r="AL68" s="27"/>
      <c r="AM68" s="27"/>
      <c r="AN68" s="27"/>
      <c r="AO68" s="27"/>
      <c r="AP68" s="27"/>
      <c r="AY68" s="27"/>
      <c r="AZ68" s="27"/>
      <c r="BA68" s="27"/>
      <c r="BB68" s="27"/>
      <c r="BC68" s="28"/>
      <c r="BD68" s="29"/>
      <c r="BE68" s="29"/>
      <c r="BF68" s="27"/>
      <c r="BG68" s="27"/>
      <c r="BH68" s="27"/>
      <c r="BI68" s="27"/>
      <c r="BJ68" s="27"/>
      <c r="BK68" s="27"/>
      <c r="BL68" s="27"/>
      <c r="BM68" s="27"/>
    </row>
    <row r="69">
      <c r="I69" s="27"/>
      <c r="J69" s="27"/>
      <c r="K69" s="27"/>
      <c r="L69" s="27"/>
      <c r="M69" s="28"/>
      <c r="N69" s="29"/>
      <c r="O69" s="29"/>
      <c r="P69" s="29"/>
      <c r="Q69" s="27"/>
      <c r="R69" s="27"/>
      <c r="S69" s="27"/>
      <c r="T69" s="27"/>
      <c r="U69" s="27"/>
      <c r="V69" s="27"/>
      <c r="AE69" s="27"/>
      <c r="AF69" s="27"/>
      <c r="AG69" s="27"/>
      <c r="AH69" s="27"/>
      <c r="AI69" s="28"/>
      <c r="AJ69" s="29"/>
      <c r="AK69" s="29"/>
      <c r="AL69" s="27"/>
      <c r="AM69" s="27"/>
      <c r="AN69" s="27"/>
      <c r="AO69" s="27"/>
      <c r="AP69" s="27"/>
      <c r="AY69" s="27"/>
      <c r="AZ69" s="27"/>
      <c r="BA69" s="27"/>
      <c r="BB69" s="27"/>
      <c r="BC69" s="28"/>
      <c r="BD69" s="29"/>
      <c r="BE69" s="29"/>
      <c r="BF69" s="27"/>
      <c r="BG69" s="27"/>
      <c r="BH69" s="27"/>
      <c r="BI69" s="27"/>
      <c r="BJ69" s="27"/>
      <c r="BK69" s="27"/>
      <c r="BL69" s="27"/>
      <c r="BM69" s="27"/>
    </row>
    <row r="70">
      <c r="I70" s="27"/>
      <c r="J70" s="27"/>
      <c r="K70" s="27"/>
      <c r="L70" s="27"/>
      <c r="M70" s="28"/>
      <c r="N70" s="29"/>
      <c r="O70" s="29"/>
      <c r="P70" s="29"/>
      <c r="Q70" s="27"/>
      <c r="R70" s="27"/>
      <c r="S70" s="27"/>
      <c r="T70" s="27"/>
      <c r="U70" s="27"/>
      <c r="V70" s="27"/>
      <c r="AE70" s="27"/>
      <c r="AF70" s="27"/>
      <c r="AG70" s="27"/>
      <c r="AH70" s="27"/>
      <c r="AI70" s="28"/>
      <c r="AJ70" s="29"/>
      <c r="AK70" s="29"/>
      <c r="AL70" s="27"/>
      <c r="AM70" s="27"/>
      <c r="AN70" s="27"/>
      <c r="AO70" s="27"/>
      <c r="AP70" s="27"/>
      <c r="AY70" s="27"/>
      <c r="AZ70" s="27"/>
      <c r="BA70" s="27"/>
      <c r="BB70" s="27"/>
      <c r="BC70" s="28"/>
      <c r="BD70" s="29"/>
      <c r="BE70" s="29"/>
      <c r="BF70" s="27"/>
      <c r="BG70" s="27"/>
      <c r="BH70" s="27"/>
      <c r="BI70" s="27"/>
      <c r="BJ70" s="27"/>
      <c r="BK70" s="27"/>
      <c r="BL70" s="27"/>
      <c r="BM70" s="27"/>
    </row>
    <row r="71">
      <c r="I71" s="27"/>
      <c r="J71" s="27"/>
      <c r="K71" s="27"/>
      <c r="L71" s="27"/>
      <c r="M71" s="28"/>
      <c r="N71" s="29"/>
      <c r="O71" s="29"/>
      <c r="P71" s="29"/>
      <c r="Q71" s="27"/>
      <c r="R71" s="27"/>
      <c r="S71" s="27"/>
      <c r="T71" s="27"/>
      <c r="U71" s="27"/>
      <c r="V71" s="27"/>
      <c r="AE71" s="27"/>
      <c r="AF71" s="27"/>
      <c r="AG71" s="27"/>
      <c r="AH71" s="27"/>
      <c r="AI71" s="28"/>
      <c r="AJ71" s="29"/>
      <c r="AK71" s="29"/>
      <c r="AL71" s="27"/>
      <c r="AM71" s="27"/>
      <c r="AN71" s="27"/>
      <c r="AO71" s="27"/>
      <c r="AP71" s="27"/>
      <c r="AY71" s="27"/>
      <c r="AZ71" s="27"/>
      <c r="BA71" s="27"/>
      <c r="BB71" s="27"/>
      <c r="BC71" s="28"/>
      <c r="BD71" s="29"/>
      <c r="BE71" s="29"/>
      <c r="BF71" s="27"/>
      <c r="BG71" s="27"/>
      <c r="BH71" s="27"/>
      <c r="BI71" s="27"/>
      <c r="BJ71" s="27"/>
      <c r="BK71" s="27"/>
      <c r="BL71" s="27"/>
      <c r="BM71" s="27"/>
    </row>
    <row r="72">
      <c r="I72" s="27"/>
      <c r="J72" s="27"/>
      <c r="K72" s="27"/>
      <c r="L72" s="27"/>
      <c r="M72" s="28"/>
      <c r="N72" s="29"/>
      <c r="O72" s="29"/>
      <c r="P72" s="29"/>
      <c r="Q72" s="27"/>
      <c r="R72" s="27"/>
      <c r="S72" s="27"/>
      <c r="T72" s="27"/>
      <c r="U72" s="27"/>
      <c r="V72" s="27"/>
      <c r="AE72" s="27"/>
      <c r="AF72" s="27"/>
      <c r="AG72" s="27"/>
      <c r="AH72" s="27"/>
      <c r="AI72" s="28"/>
      <c r="AJ72" s="29"/>
      <c r="AK72" s="29"/>
      <c r="AL72" s="27"/>
      <c r="AM72" s="27"/>
      <c r="AN72" s="27"/>
      <c r="AO72" s="27"/>
      <c r="AP72" s="27"/>
      <c r="AY72" s="27"/>
      <c r="AZ72" s="27"/>
      <c r="BA72" s="27"/>
      <c r="BB72" s="27"/>
      <c r="BC72" s="28"/>
      <c r="BD72" s="29"/>
      <c r="BE72" s="29"/>
      <c r="BF72" s="27"/>
      <c r="BG72" s="27"/>
      <c r="BH72" s="27"/>
      <c r="BI72" s="27"/>
      <c r="BJ72" s="27"/>
      <c r="BK72" s="27"/>
      <c r="BL72" s="27"/>
      <c r="BM72" s="27"/>
    </row>
    <row r="73">
      <c r="I73" s="27"/>
      <c r="J73" s="27"/>
      <c r="K73" s="27"/>
      <c r="L73" s="27"/>
      <c r="M73" s="28"/>
      <c r="N73" s="29"/>
      <c r="O73" s="29"/>
      <c r="P73" s="29"/>
      <c r="Q73" s="27"/>
      <c r="R73" s="27"/>
      <c r="S73" s="27"/>
      <c r="T73" s="27"/>
      <c r="U73" s="27"/>
      <c r="V73" s="27"/>
      <c r="AE73" s="27"/>
      <c r="AF73" s="27"/>
      <c r="AG73" s="27"/>
      <c r="AH73" s="27"/>
      <c r="AI73" s="28"/>
      <c r="AJ73" s="29"/>
      <c r="AK73" s="29"/>
      <c r="AL73" s="27"/>
      <c r="AM73" s="27"/>
      <c r="AN73" s="27"/>
      <c r="AO73" s="27"/>
      <c r="AP73" s="27"/>
      <c r="AY73" s="27"/>
      <c r="AZ73" s="27"/>
      <c r="BA73" s="27"/>
      <c r="BB73" s="27"/>
      <c r="BC73" s="28"/>
      <c r="BD73" s="29"/>
      <c r="BE73" s="29"/>
      <c r="BF73" s="27"/>
      <c r="BG73" s="27"/>
      <c r="BH73" s="27"/>
      <c r="BI73" s="27"/>
      <c r="BJ73" s="27"/>
      <c r="BK73" s="27"/>
      <c r="BL73" s="27"/>
      <c r="BM73" s="27"/>
    </row>
    <row r="74">
      <c r="I74" s="27"/>
      <c r="J74" s="27"/>
      <c r="K74" s="27"/>
      <c r="L74" s="27"/>
      <c r="M74" s="28"/>
      <c r="N74" s="29"/>
      <c r="O74" s="29"/>
      <c r="P74" s="29"/>
      <c r="Q74" s="27"/>
      <c r="R74" s="27"/>
      <c r="S74" s="27"/>
      <c r="T74" s="27"/>
      <c r="U74" s="27"/>
      <c r="V74" s="27"/>
      <c r="AE74" s="27"/>
      <c r="AF74" s="27"/>
      <c r="AG74" s="27"/>
      <c r="AH74" s="27"/>
      <c r="AI74" s="28"/>
      <c r="AJ74" s="29"/>
      <c r="AK74" s="29"/>
      <c r="AL74" s="27"/>
      <c r="AM74" s="27"/>
      <c r="AN74" s="27"/>
      <c r="AO74" s="27"/>
      <c r="AP74" s="27"/>
      <c r="AY74" s="27"/>
      <c r="AZ74" s="27"/>
      <c r="BA74" s="27"/>
      <c r="BB74" s="27"/>
      <c r="BC74" s="28"/>
      <c r="BD74" s="29"/>
      <c r="BE74" s="29"/>
      <c r="BF74" s="27"/>
      <c r="BG74" s="27"/>
      <c r="BH74" s="27"/>
      <c r="BI74" s="27"/>
      <c r="BJ74" s="27"/>
      <c r="BK74" s="27"/>
      <c r="BL74" s="27"/>
      <c r="BM74" s="27"/>
    </row>
    <row r="75">
      <c r="I75" s="27"/>
      <c r="J75" s="27"/>
      <c r="K75" s="27"/>
      <c r="L75" s="27"/>
      <c r="M75" s="28"/>
      <c r="N75" s="29"/>
      <c r="O75" s="29"/>
      <c r="P75" s="29"/>
      <c r="Q75" s="27"/>
      <c r="R75" s="27"/>
      <c r="S75" s="27"/>
      <c r="T75" s="27"/>
      <c r="U75" s="27"/>
      <c r="V75" s="27"/>
      <c r="AE75" s="27"/>
      <c r="AF75" s="27"/>
      <c r="AG75" s="27"/>
      <c r="AH75" s="27"/>
      <c r="AI75" s="28"/>
      <c r="AJ75" s="29"/>
      <c r="AK75" s="29"/>
      <c r="AL75" s="27"/>
      <c r="AM75" s="27"/>
      <c r="AN75" s="27"/>
      <c r="AO75" s="27"/>
      <c r="AP75" s="27"/>
      <c r="AY75" s="27"/>
      <c r="AZ75" s="27"/>
      <c r="BA75" s="27"/>
      <c r="BB75" s="27"/>
      <c r="BC75" s="28"/>
      <c r="BD75" s="29"/>
      <c r="BE75" s="29"/>
      <c r="BF75" s="27"/>
      <c r="BG75" s="27"/>
      <c r="BH75" s="27"/>
      <c r="BI75" s="27"/>
      <c r="BJ75" s="27"/>
      <c r="BK75" s="27"/>
      <c r="BL75" s="27"/>
      <c r="BM75" s="27"/>
    </row>
    <row r="76">
      <c r="I76" s="27"/>
      <c r="J76" s="27"/>
      <c r="K76" s="27"/>
      <c r="L76" s="27"/>
      <c r="M76" s="28"/>
      <c r="N76" s="29"/>
      <c r="O76" s="29"/>
      <c r="P76" s="29"/>
      <c r="Q76" s="27"/>
      <c r="R76" s="27"/>
      <c r="S76" s="27"/>
      <c r="T76" s="27"/>
      <c r="U76" s="27"/>
      <c r="V76" s="27"/>
      <c r="AE76" s="27"/>
      <c r="AF76" s="27"/>
      <c r="AG76" s="27"/>
      <c r="AH76" s="27"/>
      <c r="AI76" s="28"/>
      <c r="AJ76" s="29"/>
      <c r="AK76" s="29"/>
      <c r="AL76" s="27"/>
      <c r="AM76" s="27"/>
      <c r="AN76" s="27"/>
      <c r="AO76" s="27"/>
      <c r="AP76" s="27"/>
      <c r="AY76" s="27"/>
      <c r="AZ76" s="27"/>
      <c r="BA76" s="27"/>
      <c r="BB76" s="27"/>
      <c r="BC76" s="28"/>
      <c r="BD76" s="29"/>
      <c r="BE76" s="29"/>
      <c r="BF76" s="27"/>
      <c r="BG76" s="27"/>
      <c r="BH76" s="27"/>
      <c r="BI76" s="27"/>
      <c r="BJ76" s="27"/>
      <c r="BK76" s="27"/>
      <c r="BL76" s="27"/>
      <c r="BM76" s="27"/>
    </row>
    <row r="77">
      <c r="I77" s="27"/>
      <c r="J77" s="27"/>
      <c r="K77" s="27"/>
      <c r="L77" s="27"/>
      <c r="M77" s="28"/>
      <c r="N77" s="29"/>
      <c r="O77" s="29"/>
      <c r="P77" s="29"/>
      <c r="Q77" s="27"/>
      <c r="R77" s="27"/>
      <c r="S77" s="27"/>
      <c r="T77" s="27"/>
      <c r="U77" s="27"/>
      <c r="V77" s="27"/>
      <c r="AE77" s="27"/>
      <c r="AF77" s="27"/>
      <c r="AG77" s="27"/>
      <c r="AH77" s="27"/>
      <c r="AI77" s="28"/>
      <c r="AJ77" s="29"/>
      <c r="AK77" s="29"/>
      <c r="AL77" s="27"/>
      <c r="AM77" s="27"/>
      <c r="AN77" s="27"/>
      <c r="AO77" s="27"/>
      <c r="AP77" s="27"/>
      <c r="AY77" s="27"/>
      <c r="AZ77" s="27"/>
      <c r="BA77" s="27"/>
      <c r="BB77" s="27"/>
      <c r="BC77" s="28"/>
      <c r="BD77" s="29"/>
      <c r="BE77" s="29"/>
      <c r="BF77" s="27"/>
      <c r="BG77" s="27"/>
      <c r="BH77" s="27"/>
      <c r="BI77" s="27"/>
      <c r="BJ77" s="27"/>
      <c r="BK77" s="27"/>
      <c r="BL77" s="27"/>
      <c r="BM77" s="27"/>
    </row>
    <row r="78">
      <c r="I78" s="27"/>
      <c r="J78" s="27"/>
      <c r="K78" s="27"/>
      <c r="L78" s="27"/>
      <c r="M78" s="28"/>
      <c r="N78" s="29"/>
      <c r="O78" s="29"/>
      <c r="P78" s="29"/>
      <c r="Q78" s="27"/>
      <c r="R78" s="27"/>
      <c r="S78" s="27"/>
      <c r="T78" s="27"/>
      <c r="U78" s="27"/>
      <c r="V78" s="27"/>
      <c r="AE78" s="27"/>
      <c r="AF78" s="27"/>
      <c r="AG78" s="27"/>
      <c r="AH78" s="27"/>
      <c r="AI78" s="28"/>
      <c r="AJ78" s="29"/>
      <c r="AK78" s="29"/>
      <c r="AL78" s="27"/>
      <c r="AM78" s="27"/>
      <c r="AN78" s="27"/>
      <c r="AO78" s="27"/>
      <c r="AP78" s="27"/>
      <c r="AY78" s="27"/>
      <c r="AZ78" s="27"/>
      <c r="BA78" s="27"/>
      <c r="BB78" s="27"/>
      <c r="BC78" s="28"/>
      <c r="BD78" s="29"/>
      <c r="BE78" s="29"/>
      <c r="BF78" s="27"/>
      <c r="BG78" s="27"/>
      <c r="BH78" s="27"/>
      <c r="BI78" s="27"/>
      <c r="BJ78" s="27"/>
      <c r="BK78" s="27"/>
      <c r="BL78" s="27"/>
      <c r="BM78" s="27"/>
    </row>
    <row r="79">
      <c r="I79" s="27"/>
      <c r="J79" s="27"/>
      <c r="K79" s="27"/>
      <c r="L79" s="27"/>
      <c r="M79" s="28"/>
      <c r="N79" s="29"/>
      <c r="O79" s="29"/>
      <c r="P79" s="29"/>
      <c r="Q79" s="27"/>
      <c r="R79" s="27"/>
      <c r="S79" s="27"/>
      <c r="T79" s="27"/>
      <c r="U79" s="27"/>
      <c r="V79" s="27"/>
      <c r="AE79" s="27"/>
      <c r="AF79" s="27"/>
      <c r="AG79" s="27"/>
      <c r="AH79" s="27"/>
      <c r="AI79" s="28"/>
      <c r="AJ79" s="29"/>
      <c r="AK79" s="29"/>
      <c r="AL79" s="27"/>
      <c r="AM79" s="27"/>
      <c r="AN79" s="27"/>
      <c r="AO79" s="27"/>
      <c r="AP79" s="27"/>
      <c r="AY79" s="27"/>
      <c r="AZ79" s="27"/>
      <c r="BA79" s="27"/>
      <c r="BB79" s="27"/>
      <c r="BC79" s="28"/>
      <c r="BD79" s="29"/>
      <c r="BE79" s="29"/>
      <c r="BF79" s="27"/>
      <c r="BG79" s="27"/>
      <c r="BH79" s="27"/>
      <c r="BI79" s="27"/>
      <c r="BJ79" s="27"/>
      <c r="BK79" s="27"/>
      <c r="BL79" s="27"/>
      <c r="BM79" s="27"/>
    </row>
    <row r="80">
      <c r="I80" s="27"/>
      <c r="J80" s="27"/>
      <c r="K80" s="27"/>
      <c r="L80" s="27"/>
      <c r="M80" s="28"/>
      <c r="N80" s="29"/>
      <c r="O80" s="29"/>
      <c r="P80" s="29"/>
      <c r="Q80" s="27"/>
      <c r="R80" s="27"/>
      <c r="S80" s="27"/>
      <c r="T80" s="27"/>
      <c r="U80" s="27"/>
      <c r="V80" s="27"/>
      <c r="AE80" s="27"/>
      <c r="AF80" s="27"/>
      <c r="AG80" s="27"/>
      <c r="AH80" s="27"/>
      <c r="AI80" s="28"/>
      <c r="AJ80" s="29"/>
      <c r="AK80" s="29"/>
      <c r="AL80" s="27"/>
      <c r="AM80" s="27"/>
      <c r="AN80" s="27"/>
      <c r="AO80" s="27"/>
      <c r="AP80" s="27"/>
      <c r="AY80" s="27"/>
      <c r="AZ80" s="27"/>
      <c r="BA80" s="27"/>
      <c r="BB80" s="27"/>
      <c r="BC80" s="28"/>
      <c r="BD80" s="29"/>
      <c r="BE80" s="29"/>
      <c r="BF80" s="27"/>
      <c r="BG80" s="27"/>
      <c r="BH80" s="27"/>
      <c r="BI80" s="27"/>
      <c r="BJ80" s="27"/>
      <c r="BK80" s="27"/>
      <c r="BL80" s="27"/>
      <c r="BM80" s="27"/>
    </row>
    <row r="81">
      <c r="I81" s="27"/>
      <c r="J81" s="27"/>
      <c r="K81" s="27"/>
      <c r="L81" s="27"/>
      <c r="M81" s="28"/>
      <c r="N81" s="29"/>
      <c r="O81" s="29"/>
      <c r="P81" s="29"/>
      <c r="Q81" s="27"/>
      <c r="R81" s="27"/>
      <c r="S81" s="27"/>
      <c r="T81" s="27"/>
      <c r="U81" s="27"/>
      <c r="V81" s="27"/>
      <c r="AE81" s="27"/>
      <c r="AF81" s="27"/>
      <c r="AG81" s="27"/>
      <c r="AH81" s="27"/>
      <c r="AI81" s="28"/>
      <c r="AJ81" s="29"/>
      <c r="AK81" s="29"/>
      <c r="AL81" s="27"/>
      <c r="AM81" s="27"/>
      <c r="AN81" s="27"/>
      <c r="AO81" s="27"/>
      <c r="AP81" s="27"/>
      <c r="AY81" s="27"/>
      <c r="AZ81" s="27"/>
      <c r="BA81" s="27"/>
      <c r="BB81" s="27"/>
      <c r="BC81" s="28"/>
      <c r="BD81" s="29"/>
      <c r="BE81" s="29"/>
      <c r="BF81" s="27"/>
      <c r="BG81" s="27"/>
      <c r="BH81" s="27"/>
      <c r="BI81" s="27"/>
      <c r="BJ81" s="27"/>
      <c r="BK81" s="27"/>
      <c r="BL81" s="27"/>
      <c r="BM81" s="27"/>
    </row>
    <row r="82">
      <c r="I82" s="27"/>
      <c r="J82" s="27"/>
      <c r="K82" s="27"/>
      <c r="L82" s="27"/>
      <c r="M82" s="28"/>
      <c r="N82" s="29"/>
      <c r="O82" s="29"/>
      <c r="P82" s="29"/>
      <c r="Q82" s="27"/>
      <c r="R82" s="27"/>
      <c r="S82" s="27"/>
      <c r="T82" s="27"/>
      <c r="U82" s="27"/>
      <c r="V82" s="27"/>
      <c r="AE82" s="27"/>
      <c r="AF82" s="27"/>
      <c r="AG82" s="27"/>
      <c r="AH82" s="27"/>
      <c r="AI82" s="28"/>
      <c r="AJ82" s="29"/>
      <c r="AK82" s="29"/>
      <c r="AL82" s="27"/>
      <c r="AM82" s="27"/>
      <c r="AN82" s="27"/>
      <c r="AO82" s="27"/>
      <c r="AP82" s="27"/>
      <c r="AY82" s="27"/>
      <c r="AZ82" s="27"/>
      <c r="BA82" s="27"/>
      <c r="BB82" s="27"/>
      <c r="BC82" s="28"/>
      <c r="BD82" s="29"/>
      <c r="BE82" s="29"/>
      <c r="BF82" s="27"/>
      <c r="BG82" s="27"/>
      <c r="BH82" s="27"/>
      <c r="BI82" s="27"/>
      <c r="BJ82" s="27"/>
      <c r="BK82" s="27"/>
      <c r="BL82" s="27"/>
      <c r="BM82" s="27"/>
    </row>
    <row r="83">
      <c r="I83" s="27"/>
      <c r="J83" s="27"/>
      <c r="K83" s="27"/>
      <c r="L83" s="27"/>
      <c r="M83" s="28"/>
      <c r="N83" s="29"/>
      <c r="O83" s="29"/>
      <c r="P83" s="29"/>
      <c r="Q83" s="27"/>
      <c r="R83" s="27"/>
      <c r="S83" s="27"/>
      <c r="T83" s="27"/>
      <c r="U83" s="27"/>
      <c r="V83" s="27"/>
      <c r="AE83" s="27"/>
      <c r="AF83" s="27"/>
      <c r="AG83" s="27"/>
      <c r="AH83" s="27"/>
      <c r="AI83" s="28"/>
      <c r="AJ83" s="29"/>
      <c r="AK83" s="29"/>
      <c r="AL83" s="27"/>
      <c r="AM83" s="27"/>
      <c r="AN83" s="27"/>
      <c r="AO83" s="27"/>
      <c r="AP83" s="27"/>
      <c r="AY83" s="27"/>
      <c r="AZ83" s="27"/>
      <c r="BA83" s="27"/>
      <c r="BB83" s="27"/>
      <c r="BC83" s="28"/>
      <c r="BD83" s="29"/>
      <c r="BE83" s="29"/>
      <c r="BF83" s="27"/>
      <c r="BG83" s="27"/>
      <c r="BH83" s="27"/>
      <c r="BI83" s="27"/>
      <c r="BJ83" s="27"/>
      <c r="BK83" s="27"/>
      <c r="BL83" s="27"/>
      <c r="BM83" s="27"/>
    </row>
    <row r="84">
      <c r="I84" s="27"/>
      <c r="J84" s="27"/>
      <c r="K84" s="27"/>
      <c r="L84" s="27"/>
      <c r="M84" s="28"/>
      <c r="N84" s="29"/>
      <c r="O84" s="29"/>
      <c r="P84" s="29"/>
      <c r="Q84" s="27"/>
      <c r="R84" s="27"/>
      <c r="S84" s="27"/>
      <c r="T84" s="27"/>
      <c r="U84" s="27"/>
      <c r="V84" s="27"/>
      <c r="AE84" s="27"/>
      <c r="AF84" s="27"/>
      <c r="AG84" s="27"/>
      <c r="AH84" s="27"/>
      <c r="AI84" s="28"/>
      <c r="AJ84" s="29"/>
      <c r="AK84" s="29"/>
      <c r="AL84" s="27"/>
      <c r="AM84" s="27"/>
      <c r="AN84" s="27"/>
      <c r="AO84" s="27"/>
      <c r="AP84" s="27"/>
      <c r="AY84" s="27"/>
      <c r="AZ84" s="27"/>
      <c r="BA84" s="27"/>
      <c r="BB84" s="27"/>
      <c r="BC84" s="28"/>
      <c r="BD84" s="29"/>
      <c r="BE84" s="29"/>
      <c r="BF84" s="27"/>
      <c r="BG84" s="27"/>
      <c r="BH84" s="27"/>
      <c r="BI84" s="27"/>
      <c r="BJ84" s="27"/>
      <c r="BK84" s="27"/>
      <c r="BL84" s="27"/>
      <c r="BM84" s="27"/>
    </row>
    <row r="85">
      <c r="I85" s="27"/>
      <c r="J85" s="27"/>
      <c r="K85" s="27"/>
      <c r="L85" s="27"/>
      <c r="M85" s="28"/>
      <c r="N85" s="29"/>
      <c r="O85" s="29"/>
      <c r="P85" s="29"/>
      <c r="Q85" s="27"/>
      <c r="R85" s="27"/>
      <c r="S85" s="27"/>
      <c r="T85" s="27"/>
      <c r="U85" s="27"/>
      <c r="V85" s="27"/>
      <c r="AE85" s="27"/>
      <c r="AF85" s="27"/>
      <c r="AG85" s="27"/>
      <c r="AH85" s="27"/>
      <c r="AI85" s="28"/>
      <c r="AJ85" s="29"/>
      <c r="AK85" s="29"/>
      <c r="AL85" s="27"/>
      <c r="AM85" s="27"/>
      <c r="AN85" s="27"/>
      <c r="AO85" s="27"/>
      <c r="AP85" s="27"/>
      <c r="AY85" s="27"/>
      <c r="AZ85" s="27"/>
      <c r="BA85" s="27"/>
      <c r="BB85" s="27"/>
      <c r="BC85" s="28"/>
      <c r="BD85" s="29"/>
      <c r="BE85" s="29"/>
      <c r="BF85" s="27"/>
      <c r="BG85" s="27"/>
      <c r="BH85" s="27"/>
      <c r="BI85" s="27"/>
      <c r="BJ85" s="27"/>
      <c r="BK85" s="27"/>
      <c r="BL85" s="27"/>
      <c r="BM85" s="27"/>
    </row>
    <row r="86">
      <c r="I86" s="27"/>
      <c r="J86" s="27"/>
      <c r="K86" s="27"/>
      <c r="L86" s="27"/>
      <c r="M86" s="28"/>
      <c r="N86" s="29"/>
      <c r="O86" s="29"/>
      <c r="P86" s="29"/>
      <c r="Q86" s="27"/>
      <c r="R86" s="27"/>
      <c r="S86" s="27"/>
      <c r="T86" s="27"/>
      <c r="U86" s="27"/>
      <c r="V86" s="27"/>
      <c r="AE86" s="27"/>
      <c r="AF86" s="27"/>
      <c r="AG86" s="27"/>
      <c r="AH86" s="27"/>
      <c r="AI86" s="28"/>
      <c r="AJ86" s="29"/>
      <c r="AK86" s="29"/>
      <c r="AL86" s="27"/>
      <c r="AM86" s="27"/>
      <c r="AN86" s="27"/>
      <c r="AO86" s="27"/>
      <c r="AP86" s="27"/>
      <c r="AY86" s="27"/>
      <c r="AZ86" s="27"/>
      <c r="BA86" s="27"/>
      <c r="BB86" s="27"/>
      <c r="BC86" s="28"/>
      <c r="BD86" s="29"/>
      <c r="BE86" s="29"/>
      <c r="BF86" s="27"/>
      <c r="BG86" s="27"/>
      <c r="BH86" s="27"/>
      <c r="BI86" s="27"/>
      <c r="BJ86" s="27"/>
      <c r="BK86" s="27"/>
      <c r="BL86" s="27"/>
      <c r="BM86" s="27"/>
    </row>
    <row r="87">
      <c r="I87" s="27"/>
      <c r="J87" s="27"/>
      <c r="K87" s="27"/>
      <c r="L87" s="27"/>
      <c r="M87" s="28"/>
      <c r="N87" s="29"/>
      <c r="O87" s="29"/>
      <c r="P87" s="29"/>
      <c r="Q87" s="27"/>
      <c r="R87" s="27"/>
      <c r="S87" s="27"/>
      <c r="T87" s="27"/>
      <c r="U87" s="27"/>
      <c r="V87" s="27"/>
      <c r="AE87" s="27"/>
      <c r="AF87" s="27"/>
      <c r="AG87" s="27"/>
      <c r="AH87" s="27"/>
      <c r="AI87" s="28"/>
      <c r="AJ87" s="29"/>
      <c r="AK87" s="29"/>
      <c r="AL87" s="27"/>
      <c r="AM87" s="27"/>
      <c r="AN87" s="27"/>
      <c r="AO87" s="27"/>
      <c r="AP87" s="27"/>
      <c r="AY87" s="27"/>
      <c r="AZ87" s="27"/>
      <c r="BA87" s="27"/>
      <c r="BB87" s="27"/>
      <c r="BC87" s="28"/>
      <c r="BD87" s="29"/>
      <c r="BE87" s="29"/>
      <c r="BF87" s="27"/>
      <c r="BG87" s="27"/>
      <c r="BH87" s="27"/>
      <c r="BI87" s="27"/>
      <c r="BJ87" s="27"/>
      <c r="BK87" s="27"/>
      <c r="BL87" s="27"/>
      <c r="BM87" s="27"/>
    </row>
    <row r="88">
      <c r="I88" s="27"/>
      <c r="J88" s="27"/>
      <c r="K88" s="27"/>
      <c r="L88" s="27"/>
      <c r="M88" s="28"/>
      <c r="N88" s="29"/>
      <c r="O88" s="29"/>
      <c r="P88" s="29"/>
      <c r="Q88" s="27"/>
      <c r="R88" s="27"/>
      <c r="S88" s="27"/>
      <c r="T88" s="27"/>
      <c r="U88" s="27"/>
      <c r="V88" s="27"/>
      <c r="AE88" s="27"/>
      <c r="AF88" s="27"/>
      <c r="AG88" s="27"/>
      <c r="AH88" s="27"/>
      <c r="AI88" s="28"/>
      <c r="AJ88" s="29"/>
      <c r="AK88" s="29"/>
      <c r="AL88" s="27"/>
      <c r="AM88" s="27"/>
      <c r="AN88" s="27"/>
      <c r="AO88" s="27"/>
      <c r="AP88" s="27"/>
      <c r="AY88" s="27"/>
      <c r="AZ88" s="27"/>
      <c r="BA88" s="27"/>
      <c r="BB88" s="27"/>
      <c r="BC88" s="28"/>
      <c r="BD88" s="29"/>
      <c r="BE88" s="29"/>
      <c r="BF88" s="27"/>
      <c r="BG88" s="27"/>
      <c r="BH88" s="27"/>
      <c r="BI88" s="27"/>
      <c r="BJ88" s="27"/>
      <c r="BK88" s="27"/>
      <c r="BL88" s="27"/>
      <c r="BM88" s="27"/>
    </row>
    <row r="89">
      <c r="I89" s="27"/>
      <c r="J89" s="27"/>
      <c r="K89" s="27"/>
      <c r="L89" s="27"/>
      <c r="M89" s="28"/>
      <c r="N89" s="29"/>
      <c r="O89" s="29"/>
      <c r="P89" s="29"/>
      <c r="Q89" s="27"/>
      <c r="R89" s="27"/>
      <c r="S89" s="27"/>
      <c r="T89" s="27"/>
      <c r="U89" s="27"/>
      <c r="V89" s="27"/>
      <c r="AE89" s="27"/>
      <c r="AF89" s="27"/>
      <c r="AG89" s="27"/>
      <c r="AH89" s="27"/>
      <c r="AI89" s="28"/>
      <c r="AJ89" s="29"/>
      <c r="AK89" s="29"/>
      <c r="AL89" s="27"/>
      <c r="AM89" s="27"/>
      <c r="AN89" s="27"/>
      <c r="AO89" s="27"/>
      <c r="AP89" s="27"/>
      <c r="AY89" s="27"/>
      <c r="AZ89" s="27"/>
      <c r="BA89" s="27"/>
      <c r="BB89" s="27"/>
      <c r="BC89" s="28"/>
      <c r="BD89" s="29"/>
      <c r="BE89" s="29"/>
      <c r="BF89" s="27"/>
      <c r="BG89" s="27"/>
      <c r="BH89" s="27"/>
      <c r="BI89" s="27"/>
      <c r="BJ89" s="27"/>
      <c r="BK89" s="27"/>
      <c r="BL89" s="27"/>
      <c r="BM89" s="27"/>
    </row>
    <row r="90">
      <c r="I90" s="27"/>
      <c r="J90" s="27"/>
      <c r="K90" s="27"/>
      <c r="L90" s="27"/>
      <c r="M90" s="28"/>
      <c r="N90" s="29"/>
      <c r="O90" s="29"/>
      <c r="P90" s="29"/>
      <c r="Q90" s="27"/>
      <c r="R90" s="27"/>
      <c r="S90" s="27"/>
      <c r="T90" s="27"/>
      <c r="U90" s="27"/>
      <c r="V90" s="27"/>
      <c r="AE90" s="27"/>
      <c r="AF90" s="27"/>
      <c r="AG90" s="27"/>
      <c r="AH90" s="27"/>
      <c r="AI90" s="28"/>
      <c r="AJ90" s="29"/>
      <c r="AK90" s="29"/>
      <c r="AL90" s="27"/>
      <c r="AM90" s="27"/>
      <c r="AN90" s="27"/>
      <c r="AO90" s="27"/>
      <c r="AP90" s="27"/>
      <c r="AY90" s="27"/>
      <c r="AZ90" s="27"/>
      <c r="BA90" s="27"/>
      <c r="BB90" s="27"/>
      <c r="BC90" s="28"/>
      <c r="BD90" s="29"/>
      <c r="BE90" s="29"/>
      <c r="BF90" s="27"/>
      <c r="BG90" s="27"/>
      <c r="BH90" s="27"/>
      <c r="BI90" s="27"/>
      <c r="BJ90" s="27"/>
      <c r="BK90" s="27"/>
      <c r="BL90" s="27"/>
      <c r="BM90" s="27"/>
    </row>
    <row r="91">
      <c r="I91" s="27"/>
      <c r="J91" s="27"/>
      <c r="K91" s="27"/>
      <c r="L91" s="27"/>
      <c r="M91" s="28"/>
      <c r="N91" s="29"/>
      <c r="O91" s="29"/>
      <c r="P91" s="29"/>
      <c r="Q91" s="27"/>
      <c r="R91" s="27"/>
      <c r="S91" s="27"/>
      <c r="T91" s="27"/>
      <c r="U91" s="27"/>
      <c r="V91" s="27"/>
      <c r="AE91" s="27"/>
      <c r="AF91" s="27"/>
      <c r="AG91" s="27"/>
      <c r="AH91" s="27"/>
      <c r="AI91" s="28"/>
      <c r="AJ91" s="29"/>
      <c r="AK91" s="29"/>
      <c r="AL91" s="27"/>
      <c r="AM91" s="27"/>
      <c r="AN91" s="27"/>
      <c r="AO91" s="27"/>
      <c r="AP91" s="27"/>
      <c r="AY91" s="27"/>
      <c r="AZ91" s="27"/>
      <c r="BA91" s="27"/>
      <c r="BB91" s="27"/>
      <c r="BC91" s="28"/>
      <c r="BD91" s="29"/>
      <c r="BE91" s="29"/>
      <c r="BF91" s="27"/>
      <c r="BG91" s="27"/>
      <c r="BH91" s="27"/>
      <c r="BI91" s="27"/>
      <c r="BJ91" s="27"/>
      <c r="BK91" s="27"/>
      <c r="BL91" s="27"/>
      <c r="BM91" s="27"/>
    </row>
    <row r="92">
      <c r="I92" s="27"/>
      <c r="J92" s="27"/>
      <c r="K92" s="27"/>
      <c r="L92" s="27"/>
      <c r="M92" s="28"/>
      <c r="N92" s="29"/>
      <c r="O92" s="29"/>
      <c r="P92" s="29"/>
      <c r="Q92" s="27"/>
      <c r="R92" s="27"/>
      <c r="S92" s="27"/>
      <c r="T92" s="27"/>
      <c r="U92" s="27"/>
      <c r="V92" s="27"/>
      <c r="AE92" s="27"/>
      <c r="AF92" s="27"/>
      <c r="AG92" s="27"/>
      <c r="AH92" s="27"/>
      <c r="AI92" s="28"/>
      <c r="AJ92" s="29"/>
      <c r="AK92" s="29"/>
      <c r="AL92" s="27"/>
      <c r="AM92" s="27"/>
      <c r="AN92" s="27"/>
      <c r="AO92" s="27"/>
      <c r="AP92" s="27"/>
      <c r="AY92" s="27"/>
      <c r="AZ92" s="27"/>
      <c r="BA92" s="27"/>
      <c r="BB92" s="27"/>
      <c r="BC92" s="28"/>
      <c r="BD92" s="29"/>
      <c r="BE92" s="29"/>
      <c r="BF92" s="27"/>
      <c r="BG92" s="27"/>
      <c r="BH92" s="27"/>
      <c r="BI92" s="27"/>
      <c r="BJ92" s="27"/>
      <c r="BK92" s="27"/>
      <c r="BL92" s="27"/>
      <c r="BM92" s="27"/>
    </row>
    <row r="93">
      <c r="I93" s="27"/>
      <c r="J93" s="27"/>
      <c r="K93" s="27"/>
      <c r="L93" s="27"/>
      <c r="M93" s="28"/>
      <c r="N93" s="29"/>
      <c r="O93" s="29"/>
      <c r="P93" s="29"/>
      <c r="Q93" s="27"/>
      <c r="R93" s="27"/>
      <c r="S93" s="27"/>
      <c r="T93" s="27"/>
      <c r="U93" s="27"/>
      <c r="V93" s="27"/>
      <c r="AE93" s="27"/>
      <c r="AF93" s="27"/>
      <c r="AG93" s="27"/>
      <c r="AH93" s="27"/>
      <c r="AI93" s="28"/>
      <c r="AJ93" s="29"/>
      <c r="AK93" s="29"/>
      <c r="AL93" s="27"/>
      <c r="AM93" s="27"/>
      <c r="AN93" s="27"/>
      <c r="AO93" s="27"/>
      <c r="AP93" s="27"/>
      <c r="AY93" s="27"/>
      <c r="AZ93" s="27"/>
      <c r="BA93" s="27"/>
      <c r="BB93" s="27"/>
      <c r="BC93" s="28"/>
      <c r="BD93" s="29"/>
      <c r="BE93" s="29"/>
      <c r="BF93" s="27"/>
      <c r="BG93" s="27"/>
      <c r="BH93" s="27"/>
      <c r="BI93" s="27"/>
      <c r="BJ93" s="27"/>
      <c r="BK93" s="27"/>
      <c r="BL93" s="27"/>
      <c r="BM93" s="27"/>
    </row>
    <row r="94">
      <c r="I94" s="27"/>
      <c r="J94" s="27"/>
      <c r="K94" s="27"/>
      <c r="L94" s="27"/>
      <c r="M94" s="28"/>
      <c r="N94" s="29"/>
      <c r="O94" s="29"/>
      <c r="P94" s="29"/>
      <c r="Q94" s="27"/>
      <c r="R94" s="27"/>
      <c r="S94" s="27"/>
      <c r="T94" s="27"/>
      <c r="U94" s="27"/>
      <c r="V94" s="27"/>
      <c r="AE94" s="27"/>
      <c r="AF94" s="27"/>
      <c r="AG94" s="27"/>
      <c r="AH94" s="27"/>
      <c r="AI94" s="28"/>
      <c r="AJ94" s="29"/>
      <c r="AK94" s="29"/>
      <c r="AL94" s="27"/>
      <c r="AM94" s="27"/>
      <c r="AN94" s="27"/>
      <c r="AO94" s="27"/>
      <c r="AP94" s="27"/>
      <c r="AY94" s="27"/>
      <c r="AZ94" s="27"/>
      <c r="BA94" s="27"/>
      <c r="BB94" s="27"/>
      <c r="BC94" s="28"/>
      <c r="BD94" s="29"/>
      <c r="BE94" s="29"/>
      <c r="BF94" s="27"/>
      <c r="BG94" s="27"/>
      <c r="BH94" s="27"/>
      <c r="BI94" s="27"/>
      <c r="BJ94" s="27"/>
      <c r="BK94" s="27"/>
      <c r="BL94" s="27"/>
      <c r="BM94" s="27"/>
    </row>
    <row r="95">
      <c r="I95" s="27"/>
      <c r="J95" s="27"/>
      <c r="K95" s="27"/>
      <c r="L95" s="27"/>
      <c r="M95" s="28"/>
      <c r="N95" s="29"/>
      <c r="O95" s="29"/>
      <c r="P95" s="29"/>
      <c r="Q95" s="27"/>
      <c r="R95" s="27"/>
      <c r="S95" s="27"/>
      <c r="T95" s="27"/>
      <c r="U95" s="27"/>
      <c r="V95" s="27"/>
      <c r="AE95" s="27"/>
      <c r="AF95" s="27"/>
      <c r="AG95" s="27"/>
      <c r="AH95" s="27"/>
      <c r="AI95" s="28"/>
      <c r="AJ95" s="29"/>
      <c r="AK95" s="29"/>
      <c r="AL95" s="27"/>
      <c r="AM95" s="27"/>
      <c r="AN95" s="27"/>
      <c r="AO95" s="27"/>
      <c r="AP95" s="27"/>
      <c r="AY95" s="27"/>
      <c r="AZ95" s="27"/>
      <c r="BA95" s="27"/>
      <c r="BB95" s="27"/>
      <c r="BC95" s="28"/>
      <c r="BD95" s="29"/>
      <c r="BE95" s="29"/>
      <c r="BF95" s="27"/>
      <c r="BG95" s="27"/>
      <c r="BH95" s="27"/>
      <c r="BI95" s="27"/>
      <c r="BJ95" s="27"/>
      <c r="BK95" s="27"/>
      <c r="BL95" s="27"/>
      <c r="BM95" s="27"/>
    </row>
    <row r="96">
      <c r="I96" s="27"/>
      <c r="J96" s="27"/>
      <c r="K96" s="27"/>
      <c r="L96" s="27"/>
      <c r="M96" s="28"/>
      <c r="N96" s="29"/>
      <c r="O96" s="29"/>
      <c r="P96" s="29"/>
      <c r="Q96" s="27"/>
      <c r="R96" s="27"/>
      <c r="S96" s="27"/>
      <c r="T96" s="27"/>
      <c r="U96" s="27"/>
      <c r="V96" s="27"/>
      <c r="AE96" s="27"/>
      <c r="AF96" s="27"/>
      <c r="AG96" s="27"/>
      <c r="AH96" s="27"/>
      <c r="AI96" s="28"/>
      <c r="AJ96" s="29"/>
      <c r="AK96" s="29"/>
      <c r="AL96" s="27"/>
      <c r="AM96" s="27"/>
      <c r="AN96" s="27"/>
      <c r="AO96" s="27"/>
      <c r="AP96" s="27"/>
      <c r="AY96" s="27"/>
      <c r="AZ96" s="27"/>
      <c r="BA96" s="27"/>
      <c r="BB96" s="27"/>
      <c r="BC96" s="28"/>
      <c r="BD96" s="29"/>
      <c r="BE96" s="29"/>
      <c r="BF96" s="27"/>
      <c r="BG96" s="27"/>
      <c r="BH96" s="27"/>
      <c r="BI96" s="27"/>
      <c r="BJ96" s="27"/>
      <c r="BK96" s="27"/>
      <c r="BL96" s="27"/>
      <c r="BM96" s="27"/>
    </row>
    <row r="97">
      <c r="I97" s="27"/>
      <c r="J97" s="27"/>
      <c r="K97" s="27"/>
      <c r="L97" s="27"/>
      <c r="M97" s="28"/>
      <c r="N97" s="29"/>
      <c r="O97" s="29"/>
      <c r="P97" s="29"/>
      <c r="Q97" s="27"/>
      <c r="R97" s="27"/>
      <c r="S97" s="27"/>
      <c r="T97" s="27"/>
      <c r="U97" s="27"/>
      <c r="V97" s="27"/>
      <c r="AE97" s="27"/>
      <c r="AF97" s="27"/>
      <c r="AG97" s="27"/>
      <c r="AH97" s="27"/>
      <c r="AI97" s="28"/>
      <c r="AJ97" s="29"/>
      <c r="AK97" s="29"/>
      <c r="AL97" s="27"/>
      <c r="AM97" s="27"/>
      <c r="AN97" s="27"/>
      <c r="AO97" s="27"/>
      <c r="AP97" s="27"/>
      <c r="AY97" s="27"/>
      <c r="AZ97" s="27"/>
      <c r="BA97" s="27"/>
      <c r="BB97" s="27"/>
      <c r="BC97" s="28"/>
      <c r="BD97" s="29"/>
      <c r="BE97" s="29"/>
      <c r="BF97" s="27"/>
      <c r="BG97" s="27"/>
      <c r="BH97" s="27"/>
      <c r="BI97" s="27"/>
      <c r="BJ97" s="27"/>
      <c r="BK97" s="27"/>
      <c r="BL97" s="27"/>
      <c r="BM97" s="27"/>
    </row>
    <row r="98">
      <c r="I98" s="27"/>
      <c r="J98" s="27"/>
      <c r="K98" s="27"/>
      <c r="L98" s="27"/>
      <c r="M98" s="28"/>
      <c r="N98" s="29"/>
      <c r="O98" s="29"/>
      <c r="P98" s="29"/>
      <c r="Q98" s="27"/>
      <c r="R98" s="27"/>
      <c r="S98" s="27"/>
      <c r="T98" s="27"/>
      <c r="U98" s="27"/>
      <c r="V98" s="27"/>
      <c r="AE98" s="27"/>
      <c r="AF98" s="27"/>
      <c r="AG98" s="27"/>
      <c r="AH98" s="27"/>
      <c r="AI98" s="28"/>
      <c r="AJ98" s="29"/>
      <c r="AK98" s="29"/>
      <c r="AL98" s="27"/>
      <c r="AM98" s="27"/>
      <c r="AN98" s="27"/>
      <c r="AO98" s="27"/>
      <c r="AP98" s="27"/>
      <c r="AY98" s="27"/>
      <c r="AZ98" s="27"/>
      <c r="BA98" s="27"/>
      <c r="BB98" s="27"/>
      <c r="BC98" s="28"/>
      <c r="BD98" s="29"/>
      <c r="BE98" s="29"/>
      <c r="BF98" s="27"/>
      <c r="BG98" s="27"/>
      <c r="BH98" s="27"/>
      <c r="BI98" s="27"/>
      <c r="BJ98" s="27"/>
      <c r="BK98" s="27"/>
      <c r="BL98" s="27"/>
      <c r="BM98" s="27"/>
    </row>
    <row r="99">
      <c r="I99" s="27"/>
      <c r="J99" s="27"/>
      <c r="K99" s="27"/>
      <c r="L99" s="27"/>
      <c r="M99" s="28"/>
      <c r="N99" s="29"/>
      <c r="O99" s="29"/>
      <c r="P99" s="29"/>
      <c r="Q99" s="27"/>
      <c r="R99" s="27"/>
      <c r="S99" s="27"/>
      <c r="T99" s="27"/>
      <c r="U99" s="27"/>
      <c r="V99" s="27"/>
      <c r="AE99" s="27"/>
      <c r="AF99" s="27"/>
      <c r="AG99" s="27"/>
      <c r="AH99" s="27"/>
      <c r="AI99" s="28"/>
      <c r="AJ99" s="29"/>
      <c r="AK99" s="29"/>
      <c r="AL99" s="27"/>
      <c r="AM99" s="27"/>
      <c r="AN99" s="27"/>
      <c r="AO99" s="27"/>
      <c r="AP99" s="27"/>
      <c r="AY99" s="27"/>
      <c r="AZ99" s="27"/>
      <c r="BA99" s="27"/>
      <c r="BB99" s="27"/>
      <c r="BC99" s="28"/>
      <c r="BD99" s="29"/>
      <c r="BE99" s="29"/>
      <c r="BF99" s="27"/>
      <c r="BG99" s="27"/>
      <c r="BH99" s="27"/>
      <c r="BI99" s="27"/>
      <c r="BJ99" s="27"/>
      <c r="BK99" s="27"/>
      <c r="BL99" s="27"/>
      <c r="BM99" s="27"/>
    </row>
    <row r="100">
      <c r="I100" s="27"/>
      <c r="J100" s="27"/>
      <c r="K100" s="27"/>
      <c r="L100" s="27"/>
      <c r="M100" s="28"/>
      <c r="N100" s="29"/>
      <c r="O100" s="29"/>
      <c r="P100" s="29"/>
      <c r="Q100" s="27"/>
      <c r="R100" s="27"/>
      <c r="S100" s="27"/>
      <c r="T100" s="27"/>
      <c r="U100" s="27"/>
      <c r="V100" s="27"/>
      <c r="AE100" s="27"/>
      <c r="AF100" s="27"/>
      <c r="AG100" s="27"/>
      <c r="AH100" s="27"/>
      <c r="AI100" s="28"/>
      <c r="AJ100" s="29"/>
      <c r="AK100" s="29"/>
      <c r="AL100" s="27"/>
      <c r="AM100" s="27"/>
      <c r="AN100" s="27"/>
      <c r="AO100" s="27"/>
      <c r="AP100" s="27"/>
      <c r="AY100" s="27"/>
      <c r="AZ100" s="27"/>
      <c r="BA100" s="27"/>
      <c r="BB100" s="27"/>
      <c r="BC100" s="28"/>
      <c r="BD100" s="29"/>
      <c r="BE100" s="29"/>
      <c r="BF100" s="27"/>
      <c r="BG100" s="27"/>
      <c r="BH100" s="27"/>
      <c r="BI100" s="27"/>
      <c r="BJ100" s="27"/>
      <c r="BK100" s="27"/>
      <c r="BL100" s="27"/>
      <c r="BM100" s="27"/>
    </row>
    <row r="101">
      <c r="I101" s="27"/>
      <c r="J101" s="27"/>
      <c r="K101" s="27"/>
      <c r="L101" s="27"/>
      <c r="M101" s="28"/>
      <c r="N101" s="29"/>
      <c r="O101" s="29"/>
      <c r="P101" s="29"/>
      <c r="Q101" s="27"/>
      <c r="R101" s="27"/>
      <c r="S101" s="27"/>
      <c r="T101" s="27"/>
      <c r="U101" s="27"/>
      <c r="V101" s="27"/>
      <c r="AE101" s="27"/>
      <c r="AF101" s="27"/>
      <c r="AG101" s="27"/>
      <c r="AH101" s="27"/>
      <c r="AI101" s="28"/>
      <c r="AJ101" s="29"/>
      <c r="AK101" s="29"/>
      <c r="AL101" s="27"/>
      <c r="AM101" s="27"/>
      <c r="AN101" s="27"/>
      <c r="AO101" s="27"/>
      <c r="AP101" s="27"/>
      <c r="AY101" s="27"/>
      <c r="AZ101" s="27"/>
      <c r="BA101" s="27"/>
      <c r="BB101" s="27"/>
      <c r="BC101" s="28"/>
      <c r="BD101" s="29"/>
      <c r="BE101" s="29"/>
      <c r="BF101" s="27"/>
      <c r="BG101" s="27"/>
      <c r="BH101" s="27"/>
      <c r="BI101" s="27"/>
      <c r="BJ101" s="27"/>
      <c r="BK101" s="27"/>
      <c r="BL101" s="27"/>
      <c r="BM101" s="27"/>
    </row>
    <row r="102">
      <c r="I102" s="27"/>
      <c r="J102" s="27"/>
      <c r="K102" s="27"/>
      <c r="L102" s="27"/>
      <c r="M102" s="28"/>
      <c r="N102" s="29"/>
      <c r="O102" s="29"/>
      <c r="P102" s="29"/>
      <c r="Q102" s="27"/>
      <c r="R102" s="27"/>
      <c r="S102" s="27"/>
      <c r="T102" s="27"/>
      <c r="U102" s="27"/>
      <c r="V102" s="27"/>
      <c r="AE102" s="27"/>
      <c r="AF102" s="27"/>
      <c r="AG102" s="27"/>
      <c r="AH102" s="27"/>
      <c r="AI102" s="28"/>
      <c r="AJ102" s="29"/>
      <c r="AK102" s="29"/>
      <c r="AL102" s="27"/>
      <c r="AM102" s="27"/>
      <c r="AN102" s="27"/>
      <c r="AO102" s="27"/>
      <c r="AP102" s="27"/>
      <c r="AY102" s="27"/>
      <c r="AZ102" s="27"/>
      <c r="BA102" s="27"/>
      <c r="BB102" s="27"/>
      <c r="BC102" s="28"/>
      <c r="BD102" s="29"/>
      <c r="BE102" s="29"/>
      <c r="BF102" s="27"/>
      <c r="BG102" s="27"/>
      <c r="BH102" s="27"/>
      <c r="BI102" s="27"/>
      <c r="BJ102" s="27"/>
      <c r="BK102" s="27"/>
      <c r="BL102" s="27"/>
      <c r="BM102" s="27"/>
    </row>
    <row r="103">
      <c r="I103" s="27"/>
      <c r="J103" s="27"/>
      <c r="K103" s="27"/>
      <c r="L103" s="27"/>
      <c r="M103" s="28"/>
      <c r="N103" s="29"/>
      <c r="O103" s="29"/>
      <c r="P103" s="29"/>
      <c r="Q103" s="27"/>
      <c r="R103" s="27"/>
      <c r="S103" s="27"/>
      <c r="T103" s="27"/>
      <c r="U103" s="27"/>
      <c r="V103" s="27"/>
      <c r="AE103" s="27"/>
      <c r="AF103" s="27"/>
      <c r="AG103" s="27"/>
      <c r="AH103" s="27"/>
      <c r="AI103" s="28"/>
      <c r="AJ103" s="29"/>
      <c r="AK103" s="29"/>
      <c r="AL103" s="27"/>
      <c r="AM103" s="27"/>
      <c r="AN103" s="27"/>
      <c r="AO103" s="27"/>
      <c r="AP103" s="27"/>
      <c r="AY103" s="27"/>
      <c r="AZ103" s="27"/>
      <c r="BA103" s="27"/>
      <c r="BB103" s="27"/>
      <c r="BC103" s="28"/>
      <c r="BD103" s="29"/>
      <c r="BE103" s="29"/>
      <c r="BF103" s="27"/>
      <c r="BG103" s="27"/>
      <c r="BH103" s="27"/>
      <c r="BI103" s="27"/>
      <c r="BJ103" s="27"/>
      <c r="BK103" s="27"/>
      <c r="BL103" s="27"/>
      <c r="BM103" s="27"/>
    </row>
    <row r="104">
      <c r="I104" s="27"/>
      <c r="J104" s="27"/>
      <c r="K104" s="27"/>
      <c r="L104" s="27"/>
      <c r="M104" s="28"/>
      <c r="N104" s="29"/>
      <c r="O104" s="29"/>
      <c r="P104" s="29"/>
      <c r="Q104" s="27"/>
      <c r="R104" s="27"/>
      <c r="S104" s="27"/>
      <c r="T104" s="27"/>
      <c r="U104" s="27"/>
      <c r="V104" s="27"/>
      <c r="AE104" s="27"/>
      <c r="AF104" s="27"/>
      <c r="AG104" s="27"/>
      <c r="AH104" s="27"/>
      <c r="AI104" s="28"/>
      <c r="AJ104" s="29"/>
      <c r="AK104" s="29"/>
      <c r="AL104" s="27"/>
      <c r="AM104" s="27"/>
      <c r="AN104" s="27"/>
      <c r="AO104" s="27"/>
      <c r="AP104" s="27"/>
      <c r="AY104" s="27"/>
      <c r="AZ104" s="27"/>
      <c r="BA104" s="27"/>
      <c r="BB104" s="27"/>
      <c r="BC104" s="28"/>
      <c r="BD104" s="29"/>
      <c r="BE104" s="29"/>
      <c r="BF104" s="27"/>
      <c r="BG104" s="27"/>
      <c r="BH104" s="27"/>
      <c r="BI104" s="27"/>
      <c r="BJ104" s="27"/>
      <c r="BK104" s="27"/>
      <c r="BL104" s="27"/>
      <c r="BM104" s="27"/>
    </row>
    <row r="105">
      <c r="I105" s="27"/>
      <c r="J105" s="27"/>
      <c r="K105" s="27"/>
      <c r="L105" s="27"/>
      <c r="M105" s="28"/>
      <c r="N105" s="29"/>
      <c r="O105" s="29"/>
      <c r="P105" s="29"/>
      <c r="Q105" s="27"/>
      <c r="R105" s="27"/>
      <c r="S105" s="27"/>
      <c r="T105" s="27"/>
      <c r="U105" s="27"/>
      <c r="V105" s="27"/>
      <c r="AE105" s="27"/>
      <c r="AF105" s="27"/>
      <c r="AG105" s="27"/>
      <c r="AH105" s="27"/>
      <c r="AI105" s="28"/>
      <c r="AJ105" s="29"/>
      <c r="AK105" s="29"/>
      <c r="AL105" s="27"/>
      <c r="AM105" s="27"/>
      <c r="AN105" s="27"/>
      <c r="AO105" s="27"/>
      <c r="AP105" s="27"/>
      <c r="AY105" s="27"/>
      <c r="AZ105" s="27"/>
      <c r="BA105" s="27"/>
      <c r="BB105" s="27"/>
      <c r="BC105" s="28"/>
      <c r="BD105" s="29"/>
      <c r="BE105" s="29"/>
      <c r="BF105" s="27"/>
      <c r="BG105" s="27"/>
      <c r="BH105" s="27"/>
      <c r="BI105" s="27"/>
      <c r="BJ105" s="27"/>
      <c r="BK105" s="27"/>
      <c r="BL105" s="27"/>
      <c r="BM105" s="27"/>
    </row>
    <row r="106">
      <c r="I106" s="27"/>
      <c r="J106" s="27"/>
      <c r="K106" s="27"/>
      <c r="L106" s="27"/>
      <c r="M106" s="28"/>
      <c r="N106" s="29"/>
      <c r="O106" s="29"/>
      <c r="P106" s="29"/>
      <c r="Q106" s="27"/>
      <c r="R106" s="27"/>
      <c r="S106" s="27"/>
      <c r="T106" s="27"/>
      <c r="U106" s="27"/>
      <c r="V106" s="27"/>
      <c r="AE106" s="27"/>
      <c r="AF106" s="27"/>
      <c r="AG106" s="27"/>
      <c r="AH106" s="27"/>
      <c r="AI106" s="28"/>
      <c r="AJ106" s="29"/>
      <c r="AK106" s="29"/>
      <c r="AL106" s="27"/>
      <c r="AM106" s="27"/>
      <c r="AN106" s="27"/>
      <c r="AO106" s="27"/>
      <c r="AP106" s="27"/>
      <c r="AY106" s="27"/>
      <c r="AZ106" s="27"/>
      <c r="BA106" s="27"/>
      <c r="BB106" s="27"/>
      <c r="BC106" s="28"/>
      <c r="BD106" s="29"/>
      <c r="BE106" s="29"/>
      <c r="BF106" s="27"/>
      <c r="BG106" s="27"/>
      <c r="BH106" s="27"/>
      <c r="BI106" s="27"/>
      <c r="BJ106" s="27"/>
      <c r="BK106" s="27"/>
      <c r="BL106" s="27"/>
      <c r="BM106" s="27"/>
    </row>
    <row r="107">
      <c r="I107" s="27"/>
      <c r="J107" s="27"/>
      <c r="K107" s="27"/>
      <c r="L107" s="27"/>
      <c r="M107" s="28"/>
      <c r="N107" s="29"/>
      <c r="O107" s="29"/>
      <c r="P107" s="29"/>
      <c r="Q107" s="27"/>
      <c r="R107" s="27"/>
      <c r="S107" s="27"/>
      <c r="T107" s="27"/>
      <c r="U107" s="27"/>
      <c r="V107" s="27"/>
      <c r="AE107" s="27"/>
      <c r="AF107" s="27"/>
      <c r="AG107" s="27"/>
      <c r="AH107" s="27"/>
      <c r="AI107" s="28"/>
      <c r="AJ107" s="29"/>
      <c r="AK107" s="29"/>
      <c r="AL107" s="27"/>
      <c r="AM107" s="27"/>
      <c r="AN107" s="27"/>
      <c r="AO107" s="27"/>
      <c r="AP107" s="27"/>
      <c r="AY107" s="27"/>
      <c r="AZ107" s="27"/>
      <c r="BA107" s="27"/>
      <c r="BB107" s="27"/>
      <c r="BC107" s="28"/>
      <c r="BD107" s="29"/>
      <c r="BE107" s="29"/>
      <c r="BF107" s="27"/>
      <c r="BG107" s="27"/>
      <c r="BH107" s="27"/>
      <c r="BI107" s="27"/>
      <c r="BJ107" s="27"/>
      <c r="BK107" s="27"/>
      <c r="BL107" s="27"/>
      <c r="BM107" s="27"/>
    </row>
    <row r="108">
      <c r="I108" s="27"/>
      <c r="J108" s="27"/>
      <c r="K108" s="27"/>
      <c r="L108" s="27"/>
      <c r="M108" s="28"/>
      <c r="N108" s="29"/>
      <c r="O108" s="29"/>
      <c r="P108" s="29"/>
      <c r="Q108" s="27"/>
      <c r="R108" s="27"/>
      <c r="S108" s="27"/>
      <c r="T108" s="27"/>
      <c r="U108" s="27"/>
      <c r="V108" s="27"/>
      <c r="AE108" s="27"/>
      <c r="AF108" s="27"/>
      <c r="AG108" s="27"/>
      <c r="AH108" s="27"/>
      <c r="AI108" s="28"/>
      <c r="AJ108" s="29"/>
      <c r="AK108" s="29"/>
      <c r="AL108" s="27"/>
      <c r="AM108" s="27"/>
      <c r="AN108" s="27"/>
      <c r="AO108" s="27"/>
      <c r="AP108" s="27"/>
      <c r="AY108" s="27"/>
      <c r="AZ108" s="27"/>
      <c r="BA108" s="27"/>
      <c r="BB108" s="27"/>
      <c r="BC108" s="28"/>
      <c r="BD108" s="29"/>
      <c r="BE108" s="29"/>
      <c r="BF108" s="27"/>
      <c r="BG108" s="27"/>
      <c r="BH108" s="27"/>
      <c r="BI108" s="27"/>
      <c r="BJ108" s="27"/>
      <c r="BK108" s="27"/>
      <c r="BL108" s="27"/>
      <c r="BM108" s="27"/>
    </row>
    <row r="109">
      <c r="I109" s="27"/>
      <c r="J109" s="27"/>
      <c r="K109" s="27"/>
      <c r="L109" s="27"/>
      <c r="M109" s="28"/>
      <c r="N109" s="29"/>
      <c r="O109" s="29"/>
      <c r="P109" s="29"/>
      <c r="Q109" s="27"/>
      <c r="R109" s="27"/>
      <c r="S109" s="27"/>
      <c r="T109" s="27"/>
      <c r="U109" s="27"/>
      <c r="V109" s="27"/>
      <c r="AE109" s="27"/>
      <c r="AF109" s="27"/>
      <c r="AG109" s="27"/>
      <c r="AH109" s="27"/>
      <c r="AI109" s="28"/>
      <c r="AJ109" s="29"/>
      <c r="AK109" s="29"/>
      <c r="AL109" s="27"/>
      <c r="AM109" s="27"/>
      <c r="AN109" s="27"/>
      <c r="AO109" s="27"/>
      <c r="AP109" s="27"/>
      <c r="AY109" s="27"/>
      <c r="AZ109" s="27"/>
      <c r="BA109" s="27"/>
      <c r="BB109" s="27"/>
      <c r="BC109" s="28"/>
      <c r="BD109" s="29"/>
      <c r="BE109" s="29"/>
      <c r="BF109" s="27"/>
      <c r="BG109" s="27"/>
      <c r="BH109" s="27"/>
      <c r="BI109" s="27"/>
      <c r="BJ109" s="27"/>
      <c r="BK109" s="27"/>
      <c r="BL109" s="27"/>
      <c r="BM109" s="27"/>
    </row>
    <row r="110">
      <c r="I110" s="27"/>
      <c r="J110" s="27"/>
      <c r="K110" s="27"/>
      <c r="L110" s="27"/>
      <c r="M110" s="28"/>
      <c r="N110" s="29"/>
      <c r="O110" s="29"/>
      <c r="P110" s="29"/>
      <c r="Q110" s="27"/>
      <c r="R110" s="27"/>
      <c r="S110" s="27"/>
      <c r="T110" s="27"/>
      <c r="U110" s="27"/>
      <c r="V110" s="27"/>
      <c r="AE110" s="27"/>
      <c r="AF110" s="27"/>
      <c r="AG110" s="27"/>
      <c r="AH110" s="27"/>
      <c r="AI110" s="28"/>
      <c r="AJ110" s="29"/>
      <c r="AK110" s="29"/>
      <c r="AL110" s="27"/>
      <c r="AM110" s="27"/>
      <c r="AN110" s="27"/>
      <c r="AO110" s="27"/>
      <c r="AP110" s="27"/>
      <c r="AY110" s="27"/>
      <c r="AZ110" s="27"/>
      <c r="BA110" s="27"/>
      <c r="BB110" s="27"/>
      <c r="BC110" s="28"/>
      <c r="BD110" s="29"/>
      <c r="BE110" s="29"/>
      <c r="BF110" s="27"/>
      <c r="BG110" s="27"/>
      <c r="BH110" s="27"/>
      <c r="BI110" s="27"/>
      <c r="BJ110" s="27"/>
      <c r="BK110" s="27"/>
      <c r="BL110" s="27"/>
      <c r="BM110" s="27"/>
    </row>
    <row r="111">
      <c r="I111" s="27"/>
      <c r="J111" s="27"/>
      <c r="K111" s="27"/>
      <c r="L111" s="27"/>
      <c r="M111" s="28"/>
      <c r="N111" s="29"/>
      <c r="O111" s="29"/>
      <c r="P111" s="29"/>
      <c r="Q111" s="27"/>
      <c r="R111" s="27"/>
      <c r="S111" s="27"/>
      <c r="T111" s="27"/>
      <c r="U111" s="27"/>
      <c r="V111" s="27"/>
      <c r="AE111" s="27"/>
      <c r="AF111" s="27"/>
      <c r="AG111" s="27"/>
      <c r="AH111" s="27"/>
      <c r="AI111" s="28"/>
      <c r="AJ111" s="29"/>
      <c r="AK111" s="29"/>
      <c r="AL111" s="27"/>
      <c r="AM111" s="27"/>
      <c r="AN111" s="27"/>
      <c r="AO111" s="27"/>
      <c r="AP111" s="27"/>
      <c r="AY111" s="27"/>
      <c r="AZ111" s="27"/>
      <c r="BA111" s="27"/>
      <c r="BB111" s="27"/>
      <c r="BC111" s="28"/>
      <c r="BD111" s="29"/>
      <c r="BE111" s="29"/>
      <c r="BF111" s="27"/>
      <c r="BG111" s="27"/>
      <c r="BH111" s="27"/>
      <c r="BI111" s="27"/>
      <c r="BJ111" s="27"/>
      <c r="BK111" s="27"/>
      <c r="BL111" s="27"/>
      <c r="BM111" s="27"/>
    </row>
    <row r="112">
      <c r="I112" s="27"/>
      <c r="J112" s="27"/>
      <c r="K112" s="27"/>
      <c r="L112" s="27"/>
      <c r="M112" s="28"/>
      <c r="N112" s="29"/>
      <c r="O112" s="29"/>
      <c r="P112" s="29"/>
      <c r="Q112" s="27"/>
      <c r="R112" s="27"/>
      <c r="S112" s="27"/>
      <c r="T112" s="27"/>
      <c r="U112" s="27"/>
      <c r="V112" s="27"/>
      <c r="AE112" s="27"/>
      <c r="AF112" s="27"/>
      <c r="AG112" s="27"/>
      <c r="AH112" s="27"/>
      <c r="AI112" s="28"/>
      <c r="AJ112" s="29"/>
      <c r="AK112" s="29"/>
      <c r="AL112" s="27"/>
      <c r="AM112" s="27"/>
      <c r="AN112" s="27"/>
      <c r="AO112" s="27"/>
      <c r="AP112" s="27"/>
      <c r="AY112" s="27"/>
      <c r="AZ112" s="27"/>
      <c r="BA112" s="27"/>
      <c r="BB112" s="27"/>
      <c r="BC112" s="28"/>
      <c r="BD112" s="29"/>
      <c r="BE112" s="29"/>
      <c r="BF112" s="27"/>
      <c r="BG112" s="27"/>
      <c r="BH112" s="27"/>
      <c r="BI112" s="27"/>
      <c r="BJ112" s="27"/>
      <c r="BK112" s="27"/>
      <c r="BL112" s="27"/>
      <c r="BM112" s="27"/>
    </row>
    <row r="113">
      <c r="I113" s="27"/>
      <c r="J113" s="27"/>
      <c r="K113" s="27"/>
      <c r="L113" s="27"/>
      <c r="M113" s="28"/>
      <c r="N113" s="29"/>
      <c r="O113" s="29"/>
      <c r="P113" s="29"/>
      <c r="Q113" s="27"/>
      <c r="R113" s="27"/>
      <c r="S113" s="27"/>
      <c r="T113" s="27"/>
      <c r="U113" s="27"/>
      <c r="V113" s="27"/>
      <c r="AE113" s="27"/>
      <c r="AF113" s="27"/>
      <c r="AG113" s="27"/>
      <c r="AH113" s="27"/>
      <c r="AI113" s="28"/>
      <c r="AJ113" s="29"/>
      <c r="AK113" s="29"/>
      <c r="AL113" s="27"/>
      <c r="AM113" s="27"/>
      <c r="AN113" s="27"/>
      <c r="AO113" s="27"/>
      <c r="AP113" s="27"/>
      <c r="AY113" s="27"/>
      <c r="AZ113" s="27"/>
      <c r="BA113" s="27"/>
      <c r="BB113" s="27"/>
      <c r="BC113" s="28"/>
      <c r="BD113" s="29"/>
      <c r="BE113" s="29"/>
      <c r="BF113" s="27"/>
      <c r="BG113" s="27"/>
      <c r="BH113" s="27"/>
      <c r="BI113" s="27"/>
      <c r="BJ113" s="27"/>
      <c r="BK113" s="27"/>
      <c r="BL113" s="27"/>
      <c r="BM113" s="27"/>
    </row>
    <row r="114">
      <c r="I114" s="27"/>
      <c r="J114" s="27"/>
      <c r="K114" s="27"/>
      <c r="L114" s="27"/>
      <c r="M114" s="28"/>
      <c r="N114" s="29"/>
      <c r="O114" s="29"/>
      <c r="P114" s="29"/>
      <c r="Q114" s="27"/>
      <c r="R114" s="27"/>
      <c r="S114" s="27"/>
      <c r="T114" s="27"/>
      <c r="U114" s="27"/>
      <c r="V114" s="27"/>
      <c r="AE114" s="27"/>
      <c r="AF114" s="27"/>
      <c r="AG114" s="27"/>
      <c r="AH114" s="27"/>
      <c r="AI114" s="28"/>
      <c r="AJ114" s="29"/>
      <c r="AK114" s="29"/>
      <c r="AL114" s="27"/>
      <c r="AM114" s="27"/>
      <c r="AN114" s="27"/>
      <c r="AO114" s="27"/>
      <c r="AP114" s="27"/>
      <c r="AY114" s="27"/>
      <c r="AZ114" s="27"/>
      <c r="BA114" s="27"/>
      <c r="BB114" s="27"/>
      <c r="BC114" s="28"/>
      <c r="BD114" s="29"/>
      <c r="BE114" s="29"/>
      <c r="BF114" s="27"/>
      <c r="BG114" s="27"/>
      <c r="BH114" s="27"/>
      <c r="BI114" s="27"/>
      <c r="BJ114" s="27"/>
      <c r="BK114" s="27"/>
      <c r="BL114" s="27"/>
      <c r="BM114" s="27"/>
    </row>
    <row r="115">
      <c r="I115" s="27"/>
      <c r="J115" s="27"/>
      <c r="K115" s="27"/>
      <c r="L115" s="27"/>
      <c r="M115" s="28"/>
      <c r="N115" s="29"/>
      <c r="O115" s="29"/>
      <c r="P115" s="29"/>
      <c r="Q115" s="27"/>
      <c r="R115" s="27"/>
      <c r="S115" s="27"/>
      <c r="T115" s="27"/>
      <c r="U115" s="27"/>
      <c r="V115" s="27"/>
      <c r="AE115" s="27"/>
      <c r="AF115" s="27"/>
      <c r="AG115" s="27"/>
      <c r="AH115" s="27"/>
      <c r="AI115" s="28"/>
      <c r="AJ115" s="29"/>
      <c r="AK115" s="29"/>
      <c r="AL115" s="27"/>
      <c r="AM115" s="27"/>
      <c r="AN115" s="27"/>
      <c r="AO115" s="27"/>
      <c r="AP115" s="27"/>
      <c r="AY115" s="27"/>
      <c r="AZ115" s="27"/>
      <c r="BA115" s="27"/>
      <c r="BB115" s="27"/>
      <c r="BC115" s="28"/>
      <c r="BD115" s="29"/>
      <c r="BE115" s="29"/>
      <c r="BF115" s="27"/>
      <c r="BG115" s="27"/>
      <c r="BH115" s="27"/>
      <c r="BI115" s="27"/>
      <c r="BJ115" s="27"/>
      <c r="BK115" s="27"/>
      <c r="BL115" s="27"/>
      <c r="BM115" s="27"/>
    </row>
    <row r="116">
      <c r="I116" s="27"/>
      <c r="J116" s="27"/>
      <c r="K116" s="27"/>
      <c r="L116" s="27"/>
      <c r="M116" s="28"/>
      <c r="N116" s="29"/>
      <c r="O116" s="29"/>
      <c r="P116" s="29"/>
      <c r="Q116" s="27"/>
      <c r="R116" s="27"/>
      <c r="S116" s="27"/>
      <c r="T116" s="27"/>
      <c r="U116" s="27"/>
      <c r="V116" s="27"/>
      <c r="AE116" s="27"/>
      <c r="AF116" s="27"/>
      <c r="AG116" s="27"/>
      <c r="AH116" s="27"/>
      <c r="AI116" s="28"/>
      <c r="AJ116" s="29"/>
      <c r="AK116" s="29"/>
      <c r="AL116" s="27"/>
      <c r="AM116" s="27"/>
      <c r="AN116" s="27"/>
      <c r="AO116" s="27"/>
      <c r="AP116" s="27"/>
      <c r="AY116" s="27"/>
      <c r="AZ116" s="27"/>
      <c r="BA116" s="27"/>
      <c r="BB116" s="27"/>
      <c r="BC116" s="28"/>
      <c r="BD116" s="29"/>
      <c r="BE116" s="29"/>
      <c r="BF116" s="27"/>
      <c r="BG116" s="27"/>
      <c r="BH116" s="27"/>
      <c r="BI116" s="27"/>
      <c r="BJ116" s="27"/>
      <c r="BK116" s="27"/>
      <c r="BL116" s="27"/>
      <c r="BM116" s="27"/>
    </row>
    <row r="117">
      <c r="I117" s="27"/>
      <c r="J117" s="27"/>
      <c r="K117" s="27"/>
      <c r="L117" s="27"/>
      <c r="M117" s="28"/>
      <c r="N117" s="29"/>
      <c r="O117" s="29"/>
      <c r="P117" s="29"/>
      <c r="Q117" s="27"/>
      <c r="R117" s="27"/>
      <c r="S117" s="27"/>
      <c r="T117" s="27"/>
      <c r="U117" s="27"/>
      <c r="V117" s="27"/>
      <c r="AE117" s="27"/>
      <c r="AF117" s="27"/>
      <c r="AG117" s="27"/>
      <c r="AH117" s="27"/>
      <c r="AI117" s="28"/>
      <c r="AJ117" s="29"/>
      <c r="AK117" s="29"/>
      <c r="AL117" s="27"/>
      <c r="AM117" s="27"/>
      <c r="AN117" s="27"/>
      <c r="AO117" s="27"/>
      <c r="AP117" s="27"/>
      <c r="AY117" s="27"/>
      <c r="AZ117" s="27"/>
      <c r="BA117" s="27"/>
      <c r="BB117" s="27"/>
      <c r="BC117" s="28"/>
      <c r="BD117" s="29"/>
      <c r="BE117" s="29"/>
      <c r="BF117" s="27"/>
      <c r="BG117" s="27"/>
      <c r="BH117" s="27"/>
      <c r="BI117" s="27"/>
      <c r="BJ117" s="27"/>
      <c r="BK117" s="27"/>
      <c r="BL117" s="27"/>
      <c r="BM117" s="27"/>
    </row>
    <row r="118">
      <c r="I118" s="27"/>
      <c r="J118" s="27"/>
      <c r="K118" s="27"/>
      <c r="L118" s="27"/>
      <c r="M118" s="28"/>
      <c r="N118" s="29"/>
      <c r="O118" s="29"/>
      <c r="P118" s="29"/>
      <c r="Q118" s="27"/>
      <c r="R118" s="27"/>
      <c r="S118" s="27"/>
      <c r="T118" s="27"/>
      <c r="U118" s="27"/>
      <c r="V118" s="27"/>
      <c r="AE118" s="27"/>
      <c r="AF118" s="27"/>
      <c r="AG118" s="27"/>
      <c r="AH118" s="27"/>
      <c r="AI118" s="28"/>
      <c r="AJ118" s="29"/>
      <c r="AK118" s="29"/>
      <c r="AL118" s="27"/>
      <c r="AM118" s="27"/>
      <c r="AN118" s="27"/>
      <c r="AO118" s="27"/>
      <c r="AP118" s="27"/>
      <c r="AY118" s="27"/>
      <c r="AZ118" s="27"/>
      <c r="BA118" s="27"/>
      <c r="BB118" s="27"/>
      <c r="BC118" s="28"/>
      <c r="BD118" s="29"/>
      <c r="BE118" s="29"/>
      <c r="BF118" s="27"/>
      <c r="BG118" s="27"/>
      <c r="BH118" s="27"/>
      <c r="BI118" s="27"/>
      <c r="BJ118" s="27"/>
      <c r="BK118" s="27"/>
      <c r="BL118" s="27"/>
      <c r="BM118" s="27"/>
    </row>
    <row r="119">
      <c r="I119" s="27"/>
      <c r="J119" s="27"/>
      <c r="K119" s="27"/>
      <c r="L119" s="27"/>
      <c r="M119" s="28"/>
      <c r="N119" s="29"/>
      <c r="O119" s="29"/>
      <c r="P119" s="29"/>
      <c r="Q119" s="27"/>
      <c r="R119" s="27"/>
      <c r="S119" s="27"/>
      <c r="T119" s="27"/>
      <c r="U119" s="27"/>
      <c r="V119" s="27"/>
      <c r="AE119" s="27"/>
      <c r="AF119" s="27"/>
      <c r="AG119" s="27"/>
      <c r="AH119" s="27"/>
      <c r="AI119" s="28"/>
      <c r="AJ119" s="29"/>
      <c r="AK119" s="29"/>
      <c r="AL119" s="27"/>
      <c r="AM119" s="27"/>
      <c r="AN119" s="27"/>
      <c r="AO119" s="27"/>
      <c r="AP119" s="27"/>
      <c r="AY119" s="27"/>
      <c r="AZ119" s="27"/>
      <c r="BA119" s="27"/>
      <c r="BB119" s="27"/>
      <c r="BC119" s="28"/>
      <c r="BD119" s="29"/>
      <c r="BE119" s="29"/>
      <c r="BF119" s="27"/>
      <c r="BG119" s="27"/>
      <c r="BH119" s="27"/>
      <c r="BI119" s="27"/>
      <c r="BJ119" s="27"/>
      <c r="BK119" s="27"/>
      <c r="BL119" s="27"/>
      <c r="BM119" s="27"/>
    </row>
    <row r="120">
      <c r="I120" s="27"/>
      <c r="J120" s="27"/>
      <c r="K120" s="27"/>
      <c r="L120" s="27"/>
      <c r="M120" s="28"/>
      <c r="N120" s="29"/>
      <c r="O120" s="29"/>
      <c r="P120" s="29"/>
      <c r="Q120" s="27"/>
      <c r="R120" s="27"/>
      <c r="S120" s="27"/>
      <c r="T120" s="27"/>
      <c r="U120" s="27"/>
      <c r="V120" s="27"/>
      <c r="AE120" s="27"/>
      <c r="AF120" s="27"/>
      <c r="AG120" s="27"/>
      <c r="AH120" s="27"/>
      <c r="AI120" s="28"/>
      <c r="AJ120" s="29"/>
      <c r="AK120" s="29"/>
      <c r="AL120" s="27"/>
      <c r="AM120" s="27"/>
      <c r="AN120" s="27"/>
      <c r="AO120" s="27"/>
      <c r="AP120" s="27"/>
      <c r="AY120" s="27"/>
      <c r="AZ120" s="27"/>
      <c r="BA120" s="27"/>
      <c r="BB120" s="27"/>
      <c r="BC120" s="28"/>
      <c r="BD120" s="29"/>
      <c r="BE120" s="29"/>
      <c r="BF120" s="27"/>
      <c r="BG120" s="27"/>
      <c r="BH120" s="27"/>
      <c r="BI120" s="27"/>
      <c r="BJ120" s="27"/>
      <c r="BK120" s="27"/>
      <c r="BL120" s="27"/>
      <c r="BM120" s="27"/>
    </row>
    <row r="121">
      <c r="I121" s="27"/>
      <c r="J121" s="27"/>
      <c r="K121" s="27"/>
      <c r="L121" s="27"/>
      <c r="M121" s="28"/>
      <c r="N121" s="29"/>
      <c r="O121" s="29"/>
      <c r="P121" s="29"/>
      <c r="Q121" s="27"/>
      <c r="R121" s="27"/>
      <c r="S121" s="27"/>
      <c r="T121" s="27"/>
      <c r="U121" s="27"/>
      <c r="V121" s="27"/>
      <c r="AE121" s="27"/>
      <c r="AF121" s="27"/>
      <c r="AG121" s="27"/>
      <c r="AH121" s="27"/>
      <c r="AI121" s="28"/>
      <c r="AJ121" s="29"/>
      <c r="AK121" s="29"/>
      <c r="AL121" s="27"/>
      <c r="AM121" s="27"/>
      <c r="AN121" s="27"/>
      <c r="AO121" s="27"/>
      <c r="AP121" s="27"/>
      <c r="AY121" s="27"/>
      <c r="AZ121" s="27"/>
      <c r="BA121" s="27"/>
      <c r="BB121" s="27"/>
      <c r="BC121" s="28"/>
      <c r="BD121" s="29"/>
      <c r="BE121" s="29"/>
      <c r="BF121" s="27"/>
      <c r="BG121" s="27"/>
      <c r="BH121" s="27"/>
      <c r="BI121" s="27"/>
      <c r="BJ121" s="27"/>
      <c r="BK121" s="27"/>
      <c r="BL121" s="27"/>
      <c r="BM121" s="27"/>
    </row>
    <row r="122">
      <c r="I122" s="27"/>
      <c r="J122" s="27"/>
      <c r="K122" s="27"/>
      <c r="L122" s="27"/>
      <c r="M122" s="28"/>
      <c r="N122" s="29"/>
      <c r="O122" s="29"/>
      <c r="P122" s="29"/>
      <c r="Q122" s="27"/>
      <c r="R122" s="27"/>
      <c r="S122" s="27"/>
      <c r="T122" s="27"/>
      <c r="U122" s="27"/>
      <c r="V122" s="27"/>
      <c r="AE122" s="27"/>
      <c r="AF122" s="27"/>
      <c r="AG122" s="27"/>
      <c r="AH122" s="27"/>
      <c r="AI122" s="28"/>
      <c r="AJ122" s="29"/>
      <c r="AK122" s="29"/>
      <c r="AL122" s="27"/>
      <c r="AM122" s="27"/>
      <c r="AN122" s="27"/>
      <c r="AO122" s="27"/>
      <c r="AP122" s="27"/>
      <c r="AY122" s="27"/>
      <c r="AZ122" s="27"/>
      <c r="BA122" s="27"/>
      <c r="BB122" s="27"/>
      <c r="BC122" s="28"/>
      <c r="BD122" s="29"/>
      <c r="BE122" s="29"/>
      <c r="BF122" s="27"/>
      <c r="BG122" s="27"/>
      <c r="BH122" s="27"/>
      <c r="BI122" s="27"/>
      <c r="BJ122" s="27"/>
      <c r="BK122" s="27"/>
      <c r="BL122" s="27"/>
      <c r="BM122" s="27"/>
    </row>
    <row r="123">
      <c r="I123" s="27"/>
      <c r="J123" s="27"/>
      <c r="K123" s="27"/>
      <c r="L123" s="27"/>
      <c r="M123" s="28"/>
      <c r="N123" s="29"/>
      <c r="O123" s="29"/>
      <c r="P123" s="29"/>
      <c r="Q123" s="27"/>
      <c r="R123" s="27"/>
      <c r="S123" s="27"/>
      <c r="T123" s="27"/>
      <c r="U123" s="27"/>
      <c r="V123" s="27"/>
      <c r="AE123" s="27"/>
      <c r="AF123" s="27"/>
      <c r="AG123" s="27"/>
      <c r="AH123" s="27"/>
      <c r="AI123" s="28"/>
      <c r="AJ123" s="29"/>
      <c r="AK123" s="29"/>
      <c r="AL123" s="27"/>
      <c r="AM123" s="27"/>
      <c r="AN123" s="27"/>
      <c r="AO123" s="27"/>
      <c r="AP123" s="27"/>
      <c r="AY123" s="27"/>
      <c r="AZ123" s="27"/>
      <c r="BA123" s="27"/>
      <c r="BB123" s="27"/>
      <c r="BC123" s="28"/>
      <c r="BD123" s="29"/>
      <c r="BE123" s="29"/>
      <c r="BF123" s="27"/>
      <c r="BG123" s="27"/>
      <c r="BH123" s="27"/>
      <c r="BI123" s="27"/>
      <c r="BJ123" s="27"/>
      <c r="BK123" s="27"/>
      <c r="BL123" s="27"/>
      <c r="BM123" s="27"/>
    </row>
    <row r="124">
      <c r="I124" s="27"/>
      <c r="J124" s="27"/>
      <c r="K124" s="27"/>
      <c r="L124" s="27"/>
      <c r="M124" s="28"/>
      <c r="N124" s="29"/>
      <c r="O124" s="29"/>
      <c r="P124" s="29"/>
      <c r="Q124" s="27"/>
      <c r="R124" s="27"/>
      <c r="S124" s="27"/>
      <c r="T124" s="27"/>
      <c r="U124" s="27"/>
      <c r="V124" s="27"/>
      <c r="AE124" s="27"/>
      <c r="AF124" s="27"/>
      <c r="AG124" s="27"/>
      <c r="AH124" s="27"/>
      <c r="AI124" s="28"/>
      <c r="AJ124" s="29"/>
      <c r="AK124" s="29"/>
      <c r="AL124" s="27"/>
      <c r="AM124" s="27"/>
      <c r="AN124" s="27"/>
      <c r="AO124" s="27"/>
      <c r="AP124" s="27"/>
      <c r="AY124" s="27"/>
      <c r="AZ124" s="27"/>
      <c r="BA124" s="27"/>
      <c r="BB124" s="27"/>
      <c r="BC124" s="28"/>
      <c r="BD124" s="29"/>
      <c r="BE124" s="29"/>
      <c r="BF124" s="27"/>
      <c r="BG124" s="27"/>
      <c r="BH124" s="27"/>
      <c r="BI124" s="27"/>
      <c r="BJ124" s="27"/>
      <c r="BK124" s="27"/>
      <c r="BL124" s="27"/>
      <c r="BM124" s="27"/>
    </row>
    <row r="125">
      <c r="I125" s="27"/>
      <c r="J125" s="27"/>
      <c r="K125" s="27"/>
      <c r="L125" s="27"/>
      <c r="M125" s="28"/>
      <c r="N125" s="29"/>
      <c r="O125" s="29"/>
      <c r="P125" s="29"/>
      <c r="Q125" s="27"/>
      <c r="R125" s="27"/>
      <c r="S125" s="27"/>
      <c r="T125" s="27"/>
      <c r="U125" s="27"/>
      <c r="V125" s="27"/>
      <c r="AE125" s="27"/>
      <c r="AF125" s="27"/>
      <c r="AG125" s="27"/>
      <c r="AH125" s="27"/>
      <c r="AI125" s="28"/>
      <c r="AJ125" s="29"/>
      <c r="AK125" s="29"/>
      <c r="AL125" s="27"/>
      <c r="AM125" s="27"/>
      <c r="AN125" s="27"/>
      <c r="AO125" s="27"/>
      <c r="AP125" s="27"/>
      <c r="AY125" s="27"/>
      <c r="AZ125" s="27"/>
      <c r="BA125" s="27"/>
      <c r="BB125" s="27"/>
      <c r="BC125" s="28"/>
      <c r="BD125" s="29"/>
      <c r="BE125" s="29"/>
      <c r="BF125" s="27"/>
      <c r="BG125" s="27"/>
      <c r="BH125" s="27"/>
      <c r="BI125" s="27"/>
      <c r="BJ125" s="27"/>
      <c r="BK125" s="27"/>
      <c r="BL125" s="27"/>
      <c r="BM125" s="27"/>
    </row>
    <row r="126">
      <c r="I126" s="27"/>
      <c r="J126" s="27"/>
      <c r="K126" s="27"/>
      <c r="L126" s="27"/>
      <c r="M126" s="28"/>
      <c r="N126" s="29"/>
      <c r="O126" s="29"/>
      <c r="P126" s="29"/>
      <c r="Q126" s="27"/>
      <c r="R126" s="27"/>
      <c r="S126" s="27"/>
      <c r="T126" s="27"/>
      <c r="U126" s="27"/>
      <c r="V126" s="27"/>
      <c r="AE126" s="27"/>
      <c r="AF126" s="27"/>
      <c r="AG126" s="27"/>
      <c r="AH126" s="27"/>
      <c r="AI126" s="28"/>
      <c r="AJ126" s="29"/>
      <c r="AK126" s="29"/>
      <c r="AL126" s="27"/>
      <c r="AM126" s="27"/>
      <c r="AN126" s="27"/>
      <c r="AO126" s="27"/>
      <c r="AP126" s="27"/>
      <c r="AY126" s="27"/>
      <c r="AZ126" s="27"/>
      <c r="BA126" s="27"/>
      <c r="BB126" s="27"/>
      <c r="BC126" s="28"/>
      <c r="BD126" s="29"/>
      <c r="BE126" s="29"/>
      <c r="BF126" s="27"/>
      <c r="BG126" s="27"/>
      <c r="BH126" s="27"/>
      <c r="BI126" s="27"/>
      <c r="BJ126" s="27"/>
      <c r="BK126" s="27"/>
      <c r="BL126" s="27"/>
      <c r="BM126" s="27"/>
    </row>
    <row r="127">
      <c r="I127" s="27"/>
      <c r="J127" s="27"/>
      <c r="K127" s="27"/>
      <c r="L127" s="27"/>
      <c r="M127" s="28"/>
      <c r="N127" s="29"/>
      <c r="O127" s="29"/>
      <c r="P127" s="29"/>
      <c r="Q127" s="27"/>
      <c r="R127" s="27"/>
      <c r="S127" s="27"/>
      <c r="T127" s="27"/>
      <c r="U127" s="27"/>
      <c r="V127" s="27"/>
      <c r="AE127" s="27"/>
      <c r="AF127" s="27"/>
      <c r="AG127" s="27"/>
      <c r="AH127" s="27"/>
      <c r="AI127" s="28"/>
      <c r="AJ127" s="29"/>
      <c r="AK127" s="29"/>
      <c r="AL127" s="27"/>
      <c r="AM127" s="27"/>
      <c r="AN127" s="27"/>
      <c r="AO127" s="27"/>
      <c r="AP127" s="27"/>
      <c r="AY127" s="27"/>
      <c r="AZ127" s="27"/>
      <c r="BA127" s="27"/>
      <c r="BB127" s="27"/>
      <c r="BC127" s="28"/>
      <c r="BD127" s="29"/>
      <c r="BE127" s="29"/>
      <c r="BF127" s="27"/>
      <c r="BG127" s="27"/>
      <c r="BH127" s="27"/>
      <c r="BI127" s="27"/>
      <c r="BJ127" s="27"/>
      <c r="BK127" s="27"/>
      <c r="BL127" s="27"/>
      <c r="BM127" s="27"/>
    </row>
    <row r="128">
      <c r="I128" s="27"/>
      <c r="J128" s="27"/>
      <c r="K128" s="27"/>
      <c r="L128" s="27"/>
      <c r="M128" s="28"/>
      <c r="N128" s="29"/>
      <c r="O128" s="29"/>
      <c r="P128" s="29"/>
      <c r="Q128" s="27"/>
      <c r="R128" s="27"/>
      <c r="S128" s="27"/>
      <c r="T128" s="27"/>
      <c r="U128" s="27"/>
      <c r="V128" s="27"/>
      <c r="AE128" s="27"/>
      <c r="AF128" s="27"/>
      <c r="AG128" s="27"/>
      <c r="AH128" s="27"/>
      <c r="AI128" s="28"/>
      <c r="AJ128" s="29"/>
      <c r="AK128" s="29"/>
      <c r="AL128" s="27"/>
      <c r="AM128" s="27"/>
      <c r="AN128" s="27"/>
      <c r="AO128" s="27"/>
      <c r="AP128" s="27"/>
      <c r="AY128" s="27"/>
      <c r="AZ128" s="27"/>
      <c r="BA128" s="27"/>
      <c r="BB128" s="27"/>
      <c r="BC128" s="28"/>
      <c r="BD128" s="29"/>
      <c r="BE128" s="29"/>
      <c r="BF128" s="27"/>
      <c r="BG128" s="27"/>
      <c r="BH128" s="27"/>
      <c r="BI128" s="27"/>
      <c r="BJ128" s="27"/>
      <c r="BK128" s="27"/>
      <c r="BL128" s="27"/>
      <c r="BM128" s="27"/>
    </row>
    <row r="129">
      <c r="I129" s="27"/>
      <c r="J129" s="27"/>
      <c r="K129" s="27"/>
      <c r="L129" s="27"/>
      <c r="M129" s="28"/>
      <c r="N129" s="29"/>
      <c r="O129" s="29"/>
      <c r="P129" s="29"/>
      <c r="Q129" s="27"/>
      <c r="R129" s="27"/>
      <c r="S129" s="27"/>
      <c r="T129" s="27"/>
      <c r="U129" s="27"/>
      <c r="V129" s="27"/>
      <c r="AE129" s="27"/>
      <c r="AF129" s="27"/>
      <c r="AG129" s="27"/>
      <c r="AH129" s="27"/>
      <c r="AI129" s="28"/>
      <c r="AJ129" s="29"/>
      <c r="AK129" s="29"/>
      <c r="AL129" s="27"/>
      <c r="AM129" s="27"/>
      <c r="AN129" s="27"/>
      <c r="AO129" s="27"/>
      <c r="AP129" s="27"/>
      <c r="AY129" s="27"/>
      <c r="AZ129" s="27"/>
      <c r="BA129" s="27"/>
      <c r="BB129" s="27"/>
      <c r="BC129" s="28"/>
      <c r="BD129" s="29"/>
      <c r="BE129" s="29"/>
      <c r="BF129" s="27"/>
      <c r="BG129" s="27"/>
      <c r="BH129" s="27"/>
      <c r="BI129" s="27"/>
      <c r="BJ129" s="27"/>
      <c r="BK129" s="27"/>
      <c r="BL129" s="27"/>
      <c r="BM129" s="27"/>
    </row>
    <row r="130">
      <c r="I130" s="27"/>
      <c r="J130" s="27"/>
      <c r="K130" s="27"/>
      <c r="L130" s="27"/>
      <c r="M130" s="28"/>
      <c r="N130" s="29"/>
      <c r="O130" s="29"/>
      <c r="P130" s="29"/>
      <c r="Q130" s="27"/>
      <c r="R130" s="27"/>
      <c r="S130" s="27"/>
      <c r="T130" s="27"/>
      <c r="U130" s="27"/>
      <c r="V130" s="27"/>
      <c r="AE130" s="27"/>
      <c r="AF130" s="27"/>
      <c r="AG130" s="27"/>
      <c r="AH130" s="27"/>
      <c r="AI130" s="28"/>
      <c r="AJ130" s="29"/>
      <c r="AK130" s="29"/>
      <c r="AL130" s="27"/>
      <c r="AM130" s="27"/>
      <c r="AN130" s="27"/>
      <c r="AO130" s="27"/>
      <c r="AP130" s="27"/>
      <c r="AY130" s="27"/>
      <c r="AZ130" s="27"/>
      <c r="BA130" s="27"/>
      <c r="BB130" s="27"/>
      <c r="BC130" s="28"/>
      <c r="BD130" s="29"/>
      <c r="BE130" s="29"/>
      <c r="BF130" s="27"/>
      <c r="BG130" s="27"/>
      <c r="BH130" s="27"/>
      <c r="BI130" s="27"/>
      <c r="BJ130" s="27"/>
      <c r="BK130" s="27"/>
      <c r="BL130" s="27"/>
      <c r="BM130" s="27"/>
    </row>
    <row r="131">
      <c r="I131" s="27"/>
      <c r="J131" s="27"/>
      <c r="K131" s="27"/>
      <c r="L131" s="27"/>
      <c r="M131" s="28"/>
      <c r="N131" s="29"/>
      <c r="O131" s="29"/>
      <c r="P131" s="29"/>
      <c r="Q131" s="27"/>
      <c r="R131" s="27"/>
      <c r="S131" s="27"/>
      <c r="T131" s="27"/>
      <c r="U131" s="27"/>
      <c r="V131" s="27"/>
      <c r="AE131" s="27"/>
      <c r="AF131" s="27"/>
      <c r="AG131" s="27"/>
      <c r="AH131" s="27"/>
      <c r="AI131" s="28"/>
      <c r="AJ131" s="29"/>
      <c r="AK131" s="29"/>
      <c r="AL131" s="27"/>
      <c r="AM131" s="27"/>
      <c r="AN131" s="27"/>
      <c r="AO131" s="27"/>
      <c r="AP131" s="27"/>
      <c r="AY131" s="27"/>
      <c r="AZ131" s="27"/>
      <c r="BA131" s="27"/>
      <c r="BB131" s="27"/>
      <c r="BC131" s="28"/>
      <c r="BD131" s="29"/>
      <c r="BE131" s="29"/>
      <c r="BF131" s="27"/>
      <c r="BG131" s="27"/>
      <c r="BH131" s="27"/>
      <c r="BI131" s="27"/>
      <c r="BJ131" s="27"/>
      <c r="BK131" s="27"/>
      <c r="BL131" s="27"/>
      <c r="BM131" s="27"/>
    </row>
    <row r="132">
      <c r="I132" s="27"/>
      <c r="J132" s="27"/>
      <c r="K132" s="27"/>
      <c r="L132" s="27"/>
      <c r="M132" s="28"/>
      <c r="N132" s="29"/>
      <c r="O132" s="29"/>
      <c r="P132" s="29"/>
      <c r="Q132" s="27"/>
      <c r="R132" s="27"/>
      <c r="S132" s="27"/>
      <c r="T132" s="27"/>
      <c r="U132" s="27"/>
      <c r="V132" s="27"/>
      <c r="AE132" s="27"/>
      <c r="AF132" s="27"/>
      <c r="AG132" s="27"/>
      <c r="AH132" s="27"/>
      <c r="AI132" s="28"/>
      <c r="AJ132" s="29"/>
      <c r="AK132" s="29"/>
      <c r="AL132" s="27"/>
      <c r="AM132" s="27"/>
      <c r="AN132" s="27"/>
      <c r="AO132" s="27"/>
      <c r="AP132" s="27"/>
      <c r="AY132" s="27"/>
      <c r="AZ132" s="27"/>
      <c r="BA132" s="27"/>
      <c r="BB132" s="27"/>
      <c r="BC132" s="28"/>
      <c r="BD132" s="29"/>
      <c r="BE132" s="29"/>
      <c r="BF132" s="27"/>
      <c r="BG132" s="27"/>
      <c r="BH132" s="27"/>
      <c r="BI132" s="27"/>
      <c r="BJ132" s="27"/>
      <c r="BK132" s="27"/>
      <c r="BL132" s="27"/>
      <c r="BM132" s="27"/>
    </row>
    <row r="133">
      <c r="I133" s="27"/>
      <c r="J133" s="27"/>
      <c r="K133" s="27"/>
      <c r="L133" s="27"/>
      <c r="M133" s="28"/>
      <c r="N133" s="29"/>
      <c r="O133" s="29"/>
      <c r="P133" s="29"/>
      <c r="Q133" s="27"/>
      <c r="R133" s="27"/>
      <c r="S133" s="27"/>
      <c r="T133" s="27"/>
      <c r="U133" s="27"/>
      <c r="V133" s="27"/>
      <c r="AE133" s="27"/>
      <c r="AF133" s="27"/>
      <c r="AG133" s="27"/>
      <c r="AH133" s="27"/>
      <c r="AI133" s="28"/>
      <c r="AJ133" s="29"/>
      <c r="AK133" s="29"/>
      <c r="AL133" s="27"/>
      <c r="AM133" s="27"/>
      <c r="AN133" s="27"/>
      <c r="AO133" s="27"/>
      <c r="AP133" s="27"/>
      <c r="AY133" s="27"/>
      <c r="AZ133" s="27"/>
      <c r="BA133" s="27"/>
      <c r="BB133" s="27"/>
      <c r="BC133" s="28"/>
      <c r="BD133" s="29"/>
      <c r="BE133" s="29"/>
      <c r="BF133" s="27"/>
      <c r="BG133" s="27"/>
      <c r="BH133" s="27"/>
      <c r="BI133" s="27"/>
      <c r="BJ133" s="27"/>
      <c r="BK133" s="27"/>
      <c r="BL133" s="27"/>
      <c r="BM133" s="27"/>
    </row>
    <row r="134">
      <c r="I134" s="27"/>
      <c r="J134" s="27"/>
      <c r="K134" s="27"/>
      <c r="L134" s="27"/>
      <c r="M134" s="28"/>
      <c r="N134" s="29"/>
      <c r="O134" s="29"/>
      <c r="P134" s="29"/>
      <c r="Q134" s="27"/>
      <c r="R134" s="27"/>
      <c r="S134" s="27"/>
      <c r="T134" s="27"/>
      <c r="U134" s="27"/>
      <c r="V134" s="27"/>
      <c r="AE134" s="27"/>
      <c r="AF134" s="27"/>
      <c r="AG134" s="27"/>
      <c r="AH134" s="27"/>
      <c r="AI134" s="28"/>
      <c r="AJ134" s="29"/>
      <c r="AK134" s="29"/>
      <c r="AL134" s="27"/>
      <c r="AM134" s="27"/>
      <c r="AN134" s="27"/>
      <c r="AO134" s="27"/>
      <c r="AP134" s="27"/>
      <c r="AY134" s="27"/>
      <c r="AZ134" s="27"/>
      <c r="BA134" s="27"/>
      <c r="BB134" s="27"/>
      <c r="BC134" s="28"/>
      <c r="BD134" s="29"/>
      <c r="BE134" s="29"/>
      <c r="BF134" s="27"/>
      <c r="BG134" s="27"/>
      <c r="BH134" s="27"/>
      <c r="BI134" s="27"/>
      <c r="BJ134" s="27"/>
      <c r="BK134" s="27"/>
      <c r="BL134" s="27"/>
      <c r="BM134" s="27"/>
    </row>
    <row r="135">
      <c r="I135" s="27"/>
      <c r="J135" s="27"/>
      <c r="K135" s="27"/>
      <c r="L135" s="27"/>
      <c r="M135" s="28"/>
      <c r="N135" s="29"/>
      <c r="O135" s="29"/>
      <c r="P135" s="29"/>
      <c r="Q135" s="27"/>
      <c r="R135" s="27"/>
      <c r="S135" s="27"/>
      <c r="T135" s="27"/>
      <c r="U135" s="27"/>
      <c r="V135" s="27"/>
      <c r="AE135" s="27"/>
      <c r="AF135" s="27"/>
      <c r="AG135" s="27"/>
      <c r="AH135" s="27"/>
      <c r="AI135" s="28"/>
      <c r="AJ135" s="29"/>
      <c r="AK135" s="29"/>
      <c r="AL135" s="27"/>
      <c r="AM135" s="27"/>
      <c r="AN135" s="27"/>
      <c r="AO135" s="27"/>
      <c r="AP135" s="27"/>
      <c r="AY135" s="27"/>
      <c r="AZ135" s="27"/>
      <c r="BA135" s="27"/>
      <c r="BB135" s="27"/>
      <c r="BC135" s="28"/>
      <c r="BD135" s="29"/>
      <c r="BE135" s="29"/>
      <c r="BF135" s="27"/>
      <c r="BG135" s="27"/>
      <c r="BH135" s="27"/>
      <c r="BI135" s="27"/>
      <c r="BJ135" s="27"/>
      <c r="BK135" s="27"/>
      <c r="BL135" s="27"/>
      <c r="BM135" s="27"/>
    </row>
    <row r="136">
      <c r="I136" s="27"/>
      <c r="J136" s="27"/>
      <c r="K136" s="27"/>
      <c r="L136" s="27"/>
      <c r="M136" s="28"/>
      <c r="N136" s="29"/>
      <c r="O136" s="29"/>
      <c r="P136" s="29"/>
      <c r="Q136" s="27"/>
      <c r="R136" s="27"/>
      <c r="S136" s="27"/>
      <c r="T136" s="27"/>
      <c r="U136" s="27"/>
      <c r="V136" s="27"/>
      <c r="AE136" s="27"/>
      <c r="AF136" s="27"/>
      <c r="AG136" s="27"/>
      <c r="AH136" s="27"/>
      <c r="AI136" s="28"/>
      <c r="AJ136" s="29"/>
      <c r="AK136" s="29"/>
      <c r="AL136" s="27"/>
      <c r="AM136" s="27"/>
      <c r="AN136" s="27"/>
      <c r="AO136" s="27"/>
      <c r="AP136" s="27"/>
      <c r="AY136" s="27"/>
      <c r="AZ136" s="27"/>
      <c r="BA136" s="27"/>
      <c r="BB136" s="27"/>
      <c r="BC136" s="28"/>
      <c r="BD136" s="29"/>
      <c r="BE136" s="29"/>
      <c r="BF136" s="27"/>
      <c r="BG136" s="27"/>
      <c r="BH136" s="27"/>
      <c r="BI136" s="27"/>
      <c r="BJ136" s="27"/>
      <c r="BK136" s="27"/>
      <c r="BL136" s="27"/>
      <c r="BM136" s="27"/>
    </row>
    <row r="137">
      <c r="I137" s="27"/>
      <c r="J137" s="27"/>
      <c r="K137" s="27"/>
      <c r="L137" s="27"/>
      <c r="M137" s="28"/>
      <c r="N137" s="29"/>
      <c r="O137" s="29"/>
      <c r="P137" s="29"/>
      <c r="Q137" s="27"/>
      <c r="R137" s="27"/>
      <c r="S137" s="27"/>
      <c r="T137" s="27"/>
      <c r="U137" s="27"/>
      <c r="V137" s="27"/>
      <c r="AE137" s="27"/>
      <c r="AF137" s="27"/>
      <c r="AG137" s="27"/>
      <c r="AH137" s="27"/>
      <c r="AI137" s="28"/>
      <c r="AJ137" s="29"/>
      <c r="AK137" s="29"/>
      <c r="AL137" s="27"/>
      <c r="AM137" s="27"/>
      <c r="AN137" s="27"/>
      <c r="AO137" s="27"/>
      <c r="AP137" s="27"/>
      <c r="AY137" s="27"/>
      <c r="AZ137" s="27"/>
      <c r="BA137" s="27"/>
      <c r="BB137" s="27"/>
      <c r="BC137" s="28"/>
      <c r="BD137" s="29"/>
      <c r="BE137" s="29"/>
      <c r="BF137" s="27"/>
      <c r="BG137" s="27"/>
      <c r="BH137" s="27"/>
      <c r="BI137" s="27"/>
      <c r="BJ137" s="27"/>
      <c r="BK137" s="27"/>
      <c r="BL137" s="27"/>
      <c r="BM137" s="27"/>
    </row>
    <row r="138">
      <c r="I138" s="27"/>
      <c r="J138" s="27"/>
      <c r="K138" s="27"/>
      <c r="L138" s="27"/>
      <c r="M138" s="28"/>
      <c r="N138" s="29"/>
      <c r="O138" s="29"/>
      <c r="P138" s="29"/>
      <c r="Q138" s="27"/>
      <c r="R138" s="27"/>
      <c r="S138" s="27"/>
      <c r="T138" s="27"/>
      <c r="U138" s="27"/>
      <c r="V138" s="27"/>
      <c r="AE138" s="27"/>
      <c r="AF138" s="27"/>
      <c r="AG138" s="27"/>
      <c r="AH138" s="27"/>
      <c r="AI138" s="28"/>
      <c r="AJ138" s="29"/>
      <c r="AK138" s="29"/>
      <c r="AL138" s="27"/>
      <c r="AM138" s="27"/>
      <c r="AN138" s="27"/>
      <c r="AO138" s="27"/>
      <c r="AP138" s="27"/>
      <c r="AY138" s="27"/>
      <c r="AZ138" s="27"/>
      <c r="BA138" s="27"/>
      <c r="BB138" s="27"/>
      <c r="BC138" s="28"/>
      <c r="BD138" s="29"/>
      <c r="BE138" s="29"/>
      <c r="BF138" s="27"/>
      <c r="BG138" s="27"/>
      <c r="BH138" s="27"/>
      <c r="BI138" s="27"/>
      <c r="BJ138" s="27"/>
      <c r="BK138" s="27"/>
      <c r="BL138" s="27"/>
      <c r="BM138" s="27"/>
    </row>
    <row r="139">
      <c r="I139" s="27"/>
      <c r="J139" s="27"/>
      <c r="K139" s="27"/>
      <c r="L139" s="27"/>
      <c r="M139" s="28"/>
      <c r="N139" s="29"/>
      <c r="O139" s="29"/>
      <c r="P139" s="29"/>
      <c r="Q139" s="27"/>
      <c r="R139" s="27"/>
      <c r="S139" s="27"/>
      <c r="T139" s="27"/>
      <c r="U139" s="27"/>
      <c r="V139" s="27"/>
      <c r="AE139" s="27"/>
      <c r="AF139" s="27"/>
      <c r="AG139" s="27"/>
      <c r="AH139" s="27"/>
      <c r="AI139" s="28"/>
      <c r="AJ139" s="29"/>
      <c r="AK139" s="29"/>
      <c r="AL139" s="27"/>
      <c r="AM139" s="27"/>
      <c r="AN139" s="27"/>
      <c r="AO139" s="27"/>
      <c r="AP139" s="27"/>
      <c r="AY139" s="27"/>
      <c r="AZ139" s="27"/>
      <c r="BA139" s="27"/>
      <c r="BB139" s="27"/>
      <c r="BC139" s="28"/>
      <c r="BD139" s="29"/>
      <c r="BE139" s="29"/>
      <c r="BF139" s="27"/>
      <c r="BG139" s="27"/>
      <c r="BH139" s="27"/>
      <c r="BI139" s="27"/>
      <c r="BJ139" s="27"/>
      <c r="BK139" s="27"/>
      <c r="BL139" s="27"/>
      <c r="BM139" s="27"/>
    </row>
    <row r="140">
      <c r="I140" s="27"/>
      <c r="J140" s="27"/>
      <c r="K140" s="27"/>
      <c r="L140" s="27"/>
      <c r="M140" s="28"/>
      <c r="N140" s="29"/>
      <c r="O140" s="29"/>
      <c r="P140" s="29"/>
      <c r="Q140" s="27"/>
      <c r="R140" s="27"/>
      <c r="S140" s="27"/>
      <c r="T140" s="27"/>
      <c r="U140" s="27"/>
      <c r="V140" s="27"/>
      <c r="AE140" s="27"/>
      <c r="AF140" s="27"/>
      <c r="AG140" s="27"/>
      <c r="AH140" s="27"/>
      <c r="AI140" s="28"/>
      <c r="AJ140" s="29"/>
      <c r="AK140" s="29"/>
      <c r="AL140" s="27"/>
      <c r="AM140" s="27"/>
      <c r="AN140" s="27"/>
      <c r="AO140" s="27"/>
      <c r="AP140" s="27"/>
      <c r="AY140" s="27"/>
      <c r="AZ140" s="27"/>
      <c r="BA140" s="27"/>
      <c r="BB140" s="27"/>
      <c r="BC140" s="28"/>
      <c r="BD140" s="29"/>
      <c r="BE140" s="29"/>
      <c r="BF140" s="27"/>
      <c r="BG140" s="27"/>
      <c r="BH140" s="27"/>
      <c r="BI140" s="27"/>
      <c r="BJ140" s="27"/>
      <c r="BK140" s="27"/>
      <c r="BL140" s="27"/>
      <c r="BM140" s="27"/>
    </row>
    <row r="141">
      <c r="I141" s="27"/>
      <c r="J141" s="27"/>
      <c r="K141" s="27"/>
      <c r="L141" s="27"/>
      <c r="M141" s="28"/>
      <c r="N141" s="29"/>
      <c r="O141" s="29"/>
      <c r="P141" s="29"/>
      <c r="Q141" s="27"/>
      <c r="R141" s="27"/>
      <c r="S141" s="27"/>
      <c r="T141" s="27"/>
      <c r="U141" s="27"/>
      <c r="V141" s="27"/>
      <c r="AE141" s="27"/>
      <c r="AF141" s="27"/>
      <c r="AG141" s="27"/>
      <c r="AH141" s="27"/>
      <c r="AI141" s="28"/>
      <c r="AJ141" s="29"/>
      <c r="AK141" s="29"/>
      <c r="AL141" s="27"/>
      <c r="AM141" s="27"/>
      <c r="AN141" s="27"/>
      <c r="AO141" s="27"/>
      <c r="AP141" s="27"/>
      <c r="AY141" s="27"/>
      <c r="AZ141" s="27"/>
      <c r="BA141" s="27"/>
      <c r="BB141" s="27"/>
      <c r="BC141" s="28"/>
      <c r="BD141" s="29"/>
      <c r="BE141" s="29"/>
      <c r="BF141" s="27"/>
      <c r="BG141" s="27"/>
      <c r="BH141" s="27"/>
      <c r="BI141" s="27"/>
      <c r="BJ141" s="27"/>
      <c r="BK141" s="27"/>
      <c r="BL141" s="27"/>
      <c r="BM141" s="27"/>
    </row>
    <row r="142">
      <c r="I142" s="27"/>
      <c r="J142" s="27"/>
      <c r="K142" s="27"/>
      <c r="L142" s="27"/>
      <c r="M142" s="28"/>
      <c r="N142" s="29"/>
      <c r="O142" s="29"/>
      <c r="P142" s="29"/>
      <c r="Q142" s="27"/>
      <c r="R142" s="27"/>
      <c r="S142" s="27"/>
      <c r="T142" s="27"/>
      <c r="U142" s="27"/>
      <c r="V142" s="27"/>
      <c r="AE142" s="27"/>
      <c r="AF142" s="27"/>
      <c r="AG142" s="27"/>
      <c r="AH142" s="27"/>
      <c r="AI142" s="28"/>
      <c r="AJ142" s="29"/>
      <c r="AK142" s="29"/>
      <c r="AL142" s="27"/>
      <c r="AM142" s="27"/>
      <c r="AN142" s="27"/>
      <c r="AO142" s="27"/>
      <c r="AP142" s="27"/>
      <c r="AY142" s="27"/>
      <c r="AZ142" s="27"/>
      <c r="BA142" s="27"/>
      <c r="BB142" s="27"/>
      <c r="BC142" s="28"/>
      <c r="BD142" s="29"/>
      <c r="BE142" s="29"/>
      <c r="BF142" s="27"/>
      <c r="BG142" s="27"/>
      <c r="BH142" s="27"/>
      <c r="BI142" s="27"/>
      <c r="BJ142" s="27"/>
      <c r="BK142" s="27"/>
      <c r="BL142" s="27"/>
      <c r="BM142" s="27"/>
    </row>
    <row r="143">
      <c r="I143" s="27"/>
      <c r="J143" s="27"/>
      <c r="K143" s="27"/>
      <c r="L143" s="27"/>
      <c r="M143" s="28"/>
      <c r="N143" s="29"/>
      <c r="O143" s="29"/>
      <c r="P143" s="29"/>
      <c r="Q143" s="27"/>
      <c r="R143" s="27"/>
      <c r="S143" s="27"/>
      <c r="T143" s="27"/>
      <c r="U143" s="27"/>
      <c r="V143" s="27"/>
      <c r="AE143" s="27"/>
      <c r="AF143" s="27"/>
      <c r="AG143" s="27"/>
      <c r="AH143" s="27"/>
      <c r="AI143" s="28"/>
      <c r="AJ143" s="29"/>
      <c r="AK143" s="29"/>
      <c r="AL143" s="27"/>
      <c r="AM143" s="27"/>
      <c r="AN143" s="27"/>
      <c r="AO143" s="27"/>
      <c r="AP143" s="27"/>
      <c r="AY143" s="27"/>
      <c r="AZ143" s="27"/>
      <c r="BA143" s="27"/>
      <c r="BB143" s="27"/>
      <c r="BC143" s="28"/>
      <c r="BD143" s="29"/>
      <c r="BE143" s="29"/>
      <c r="BF143" s="27"/>
      <c r="BG143" s="27"/>
      <c r="BH143" s="27"/>
      <c r="BI143" s="27"/>
      <c r="BJ143" s="27"/>
      <c r="BK143" s="27"/>
      <c r="BL143" s="27"/>
      <c r="BM143" s="27"/>
    </row>
    <row r="144">
      <c r="I144" s="27"/>
      <c r="J144" s="27"/>
      <c r="K144" s="27"/>
      <c r="L144" s="27"/>
      <c r="M144" s="28"/>
      <c r="N144" s="29"/>
      <c r="O144" s="29"/>
      <c r="P144" s="29"/>
      <c r="Q144" s="27"/>
      <c r="R144" s="27"/>
      <c r="S144" s="27"/>
      <c r="T144" s="27"/>
      <c r="U144" s="27"/>
      <c r="V144" s="27"/>
      <c r="AE144" s="27"/>
      <c r="AF144" s="27"/>
      <c r="AG144" s="27"/>
      <c r="AH144" s="27"/>
      <c r="AI144" s="28"/>
      <c r="AJ144" s="29"/>
      <c r="AK144" s="29"/>
      <c r="AL144" s="27"/>
      <c r="AM144" s="27"/>
      <c r="AN144" s="27"/>
      <c r="AO144" s="27"/>
      <c r="AP144" s="27"/>
      <c r="AY144" s="27"/>
      <c r="AZ144" s="27"/>
      <c r="BA144" s="27"/>
      <c r="BB144" s="27"/>
      <c r="BC144" s="28"/>
      <c r="BD144" s="29"/>
      <c r="BE144" s="29"/>
      <c r="BF144" s="27"/>
      <c r="BG144" s="27"/>
      <c r="BH144" s="27"/>
      <c r="BI144" s="27"/>
      <c r="BJ144" s="27"/>
      <c r="BK144" s="27"/>
      <c r="BL144" s="27"/>
      <c r="BM144" s="27"/>
    </row>
    <row r="145">
      <c r="I145" s="27"/>
      <c r="J145" s="27"/>
      <c r="K145" s="27"/>
      <c r="L145" s="27"/>
      <c r="M145" s="28"/>
      <c r="N145" s="29"/>
      <c r="O145" s="29"/>
      <c r="P145" s="29"/>
      <c r="Q145" s="27"/>
      <c r="R145" s="27"/>
      <c r="S145" s="27"/>
      <c r="T145" s="27"/>
      <c r="U145" s="27"/>
      <c r="V145" s="27"/>
      <c r="AE145" s="27"/>
      <c r="AF145" s="27"/>
      <c r="AG145" s="27"/>
      <c r="AH145" s="27"/>
      <c r="AI145" s="28"/>
      <c r="AJ145" s="29"/>
      <c r="AK145" s="29"/>
      <c r="AL145" s="27"/>
      <c r="AM145" s="27"/>
      <c r="AN145" s="27"/>
      <c r="AO145" s="27"/>
      <c r="AP145" s="27"/>
      <c r="AY145" s="27"/>
      <c r="AZ145" s="27"/>
      <c r="BA145" s="27"/>
      <c r="BB145" s="27"/>
      <c r="BC145" s="28"/>
      <c r="BD145" s="29"/>
      <c r="BE145" s="29"/>
      <c r="BF145" s="27"/>
      <c r="BG145" s="27"/>
      <c r="BH145" s="27"/>
      <c r="BI145" s="27"/>
      <c r="BJ145" s="27"/>
      <c r="BK145" s="27"/>
      <c r="BL145" s="27"/>
      <c r="BM145" s="27"/>
    </row>
    <row r="146">
      <c r="I146" s="27"/>
      <c r="J146" s="27"/>
      <c r="K146" s="27"/>
      <c r="L146" s="27"/>
      <c r="M146" s="28"/>
      <c r="N146" s="29"/>
      <c r="O146" s="29"/>
      <c r="P146" s="29"/>
      <c r="Q146" s="27"/>
      <c r="R146" s="27"/>
      <c r="S146" s="27"/>
      <c r="T146" s="27"/>
      <c r="U146" s="27"/>
      <c r="V146" s="27"/>
      <c r="AE146" s="27"/>
      <c r="AF146" s="27"/>
      <c r="AG146" s="27"/>
      <c r="AH146" s="27"/>
      <c r="AI146" s="28"/>
      <c r="AJ146" s="29"/>
      <c r="AK146" s="29"/>
      <c r="AL146" s="27"/>
      <c r="AM146" s="27"/>
      <c r="AN146" s="27"/>
      <c r="AO146" s="27"/>
      <c r="AP146" s="27"/>
      <c r="AY146" s="27"/>
      <c r="AZ146" s="27"/>
      <c r="BA146" s="27"/>
      <c r="BB146" s="27"/>
      <c r="BC146" s="28"/>
      <c r="BD146" s="29"/>
      <c r="BE146" s="29"/>
      <c r="BF146" s="27"/>
      <c r="BG146" s="27"/>
      <c r="BH146" s="27"/>
      <c r="BI146" s="27"/>
      <c r="BJ146" s="27"/>
      <c r="BK146" s="27"/>
      <c r="BL146" s="27"/>
      <c r="BM146" s="27"/>
    </row>
    <row r="147">
      <c r="I147" s="27"/>
      <c r="J147" s="27"/>
      <c r="K147" s="27"/>
      <c r="L147" s="27"/>
      <c r="M147" s="28"/>
      <c r="N147" s="29"/>
      <c r="O147" s="29"/>
      <c r="P147" s="29"/>
      <c r="Q147" s="27"/>
      <c r="R147" s="27"/>
      <c r="S147" s="27"/>
      <c r="T147" s="27"/>
      <c r="U147" s="27"/>
      <c r="V147" s="27"/>
      <c r="AE147" s="27"/>
      <c r="AF147" s="27"/>
      <c r="AG147" s="27"/>
      <c r="AH147" s="27"/>
      <c r="AI147" s="28"/>
      <c r="AJ147" s="29"/>
      <c r="AK147" s="29"/>
      <c r="AL147" s="27"/>
      <c r="AM147" s="27"/>
      <c r="AN147" s="27"/>
      <c r="AO147" s="27"/>
      <c r="AP147" s="27"/>
      <c r="AY147" s="27"/>
      <c r="AZ147" s="27"/>
      <c r="BA147" s="27"/>
      <c r="BB147" s="27"/>
      <c r="BC147" s="28"/>
      <c r="BD147" s="29"/>
      <c r="BE147" s="29"/>
      <c r="BF147" s="27"/>
      <c r="BG147" s="27"/>
      <c r="BH147" s="27"/>
      <c r="BI147" s="27"/>
      <c r="BJ147" s="27"/>
      <c r="BK147" s="27"/>
      <c r="BL147" s="27"/>
      <c r="BM147" s="27"/>
    </row>
    <row r="148">
      <c r="I148" s="27"/>
      <c r="J148" s="27"/>
      <c r="K148" s="27"/>
      <c r="L148" s="27"/>
      <c r="M148" s="28"/>
      <c r="N148" s="29"/>
      <c r="O148" s="29"/>
      <c r="P148" s="29"/>
      <c r="Q148" s="27"/>
      <c r="R148" s="27"/>
      <c r="S148" s="27"/>
      <c r="T148" s="27"/>
      <c r="U148" s="27"/>
      <c r="V148" s="27"/>
      <c r="AE148" s="27"/>
      <c r="AF148" s="27"/>
      <c r="AG148" s="27"/>
      <c r="AH148" s="27"/>
      <c r="AI148" s="28"/>
      <c r="AJ148" s="29"/>
      <c r="AK148" s="29"/>
      <c r="AL148" s="27"/>
      <c r="AM148" s="27"/>
      <c r="AN148" s="27"/>
      <c r="AO148" s="27"/>
      <c r="AP148" s="27"/>
      <c r="AY148" s="27"/>
      <c r="AZ148" s="27"/>
      <c r="BA148" s="27"/>
      <c r="BB148" s="27"/>
      <c r="BC148" s="28"/>
      <c r="BD148" s="29"/>
      <c r="BE148" s="29"/>
      <c r="BF148" s="27"/>
      <c r="BG148" s="27"/>
      <c r="BH148" s="27"/>
      <c r="BI148" s="27"/>
      <c r="BJ148" s="27"/>
      <c r="BK148" s="27"/>
      <c r="BL148" s="27"/>
      <c r="BM148" s="27"/>
    </row>
    <row r="149">
      <c r="I149" s="27"/>
      <c r="J149" s="27"/>
      <c r="K149" s="27"/>
      <c r="L149" s="27"/>
      <c r="M149" s="28"/>
      <c r="N149" s="29"/>
      <c r="O149" s="29"/>
      <c r="P149" s="29"/>
      <c r="Q149" s="27"/>
      <c r="R149" s="27"/>
      <c r="S149" s="27"/>
      <c r="T149" s="27"/>
      <c r="U149" s="27"/>
      <c r="V149" s="27"/>
      <c r="AE149" s="27"/>
      <c r="AF149" s="27"/>
      <c r="AG149" s="27"/>
      <c r="AH149" s="27"/>
      <c r="AI149" s="28"/>
      <c r="AJ149" s="29"/>
      <c r="AK149" s="29"/>
      <c r="AL149" s="27"/>
      <c r="AM149" s="27"/>
      <c r="AN149" s="27"/>
      <c r="AO149" s="27"/>
      <c r="AP149" s="27"/>
      <c r="AY149" s="27"/>
      <c r="AZ149" s="27"/>
      <c r="BA149" s="27"/>
      <c r="BB149" s="27"/>
      <c r="BC149" s="28"/>
      <c r="BD149" s="29"/>
      <c r="BE149" s="29"/>
      <c r="BF149" s="27"/>
      <c r="BG149" s="27"/>
      <c r="BH149" s="27"/>
      <c r="BI149" s="27"/>
      <c r="BJ149" s="27"/>
      <c r="BK149" s="27"/>
      <c r="BL149" s="27"/>
      <c r="BM149" s="27"/>
    </row>
    <row r="150">
      <c r="I150" s="27"/>
      <c r="J150" s="27"/>
      <c r="K150" s="27"/>
      <c r="L150" s="27"/>
      <c r="M150" s="28"/>
      <c r="N150" s="29"/>
      <c r="O150" s="29"/>
      <c r="P150" s="29"/>
      <c r="Q150" s="27"/>
      <c r="R150" s="27"/>
      <c r="S150" s="27"/>
      <c r="T150" s="27"/>
      <c r="U150" s="27"/>
      <c r="V150" s="27"/>
      <c r="AE150" s="27"/>
      <c r="AF150" s="27"/>
      <c r="AG150" s="27"/>
      <c r="AH150" s="27"/>
      <c r="AI150" s="28"/>
      <c r="AJ150" s="29"/>
      <c r="AK150" s="29"/>
      <c r="AL150" s="27"/>
      <c r="AM150" s="27"/>
      <c r="AN150" s="27"/>
      <c r="AO150" s="27"/>
      <c r="AP150" s="27"/>
      <c r="AY150" s="27"/>
      <c r="AZ150" s="27"/>
      <c r="BA150" s="27"/>
      <c r="BB150" s="27"/>
      <c r="BC150" s="28"/>
      <c r="BD150" s="29"/>
      <c r="BE150" s="29"/>
      <c r="BF150" s="27"/>
      <c r="BG150" s="27"/>
      <c r="BH150" s="27"/>
      <c r="BI150" s="27"/>
      <c r="BJ150" s="27"/>
      <c r="BK150" s="27"/>
      <c r="BL150" s="27"/>
      <c r="BM150" s="27"/>
    </row>
    <row r="151">
      <c r="I151" s="27"/>
      <c r="J151" s="27"/>
      <c r="K151" s="27"/>
      <c r="L151" s="27"/>
      <c r="M151" s="28"/>
      <c r="N151" s="29"/>
      <c r="O151" s="29"/>
      <c r="P151" s="29"/>
      <c r="Q151" s="27"/>
      <c r="R151" s="27"/>
      <c r="S151" s="27"/>
      <c r="T151" s="27"/>
      <c r="U151" s="27"/>
      <c r="V151" s="27"/>
      <c r="AE151" s="27"/>
      <c r="AF151" s="27"/>
      <c r="AG151" s="27"/>
      <c r="AH151" s="27"/>
      <c r="AI151" s="28"/>
      <c r="AJ151" s="29"/>
      <c r="AK151" s="29"/>
      <c r="AL151" s="27"/>
      <c r="AM151" s="27"/>
      <c r="AN151" s="27"/>
      <c r="AO151" s="27"/>
      <c r="AP151" s="27"/>
      <c r="AY151" s="27"/>
      <c r="AZ151" s="27"/>
      <c r="BA151" s="27"/>
      <c r="BB151" s="27"/>
      <c r="BC151" s="28"/>
      <c r="BD151" s="29"/>
      <c r="BE151" s="29"/>
      <c r="BF151" s="27"/>
      <c r="BG151" s="27"/>
      <c r="BH151" s="27"/>
      <c r="BI151" s="27"/>
      <c r="BJ151" s="27"/>
      <c r="BK151" s="27"/>
      <c r="BL151" s="27"/>
      <c r="BM151" s="27"/>
    </row>
    <row r="152">
      <c r="I152" s="27"/>
      <c r="J152" s="27"/>
      <c r="K152" s="27"/>
      <c r="L152" s="27"/>
      <c r="M152" s="28"/>
      <c r="N152" s="29"/>
      <c r="O152" s="29"/>
      <c r="P152" s="29"/>
      <c r="Q152" s="27"/>
      <c r="R152" s="27"/>
      <c r="S152" s="27"/>
      <c r="T152" s="27"/>
      <c r="U152" s="27"/>
      <c r="V152" s="27"/>
      <c r="AE152" s="27"/>
      <c r="AF152" s="27"/>
      <c r="AG152" s="27"/>
      <c r="AH152" s="27"/>
      <c r="AI152" s="28"/>
      <c r="AJ152" s="29"/>
      <c r="AK152" s="29"/>
      <c r="AL152" s="27"/>
      <c r="AM152" s="27"/>
      <c r="AN152" s="27"/>
      <c r="AO152" s="27"/>
      <c r="AP152" s="27"/>
      <c r="AY152" s="27"/>
      <c r="AZ152" s="27"/>
      <c r="BA152" s="27"/>
      <c r="BB152" s="27"/>
      <c r="BC152" s="28"/>
      <c r="BD152" s="29"/>
      <c r="BE152" s="29"/>
      <c r="BF152" s="27"/>
      <c r="BG152" s="27"/>
      <c r="BH152" s="27"/>
      <c r="BI152" s="27"/>
      <c r="BJ152" s="27"/>
      <c r="BK152" s="27"/>
      <c r="BL152" s="27"/>
      <c r="BM152" s="27"/>
    </row>
    <row r="153">
      <c r="I153" s="27"/>
      <c r="J153" s="27"/>
      <c r="K153" s="27"/>
      <c r="L153" s="27"/>
      <c r="M153" s="28"/>
      <c r="N153" s="29"/>
      <c r="O153" s="29"/>
      <c r="P153" s="29"/>
      <c r="Q153" s="27"/>
      <c r="R153" s="27"/>
      <c r="S153" s="27"/>
      <c r="T153" s="27"/>
      <c r="U153" s="27"/>
      <c r="V153" s="27"/>
      <c r="AE153" s="27"/>
      <c r="AF153" s="27"/>
      <c r="AG153" s="27"/>
      <c r="AH153" s="27"/>
      <c r="AI153" s="28"/>
      <c r="AJ153" s="29"/>
      <c r="AK153" s="29"/>
      <c r="AL153" s="27"/>
      <c r="AM153" s="27"/>
      <c r="AN153" s="27"/>
      <c r="AO153" s="27"/>
      <c r="AP153" s="27"/>
      <c r="AY153" s="27"/>
      <c r="AZ153" s="27"/>
      <c r="BA153" s="27"/>
      <c r="BB153" s="27"/>
      <c r="BC153" s="28"/>
      <c r="BD153" s="29"/>
      <c r="BE153" s="29"/>
      <c r="BF153" s="27"/>
      <c r="BG153" s="27"/>
      <c r="BH153" s="27"/>
      <c r="BI153" s="27"/>
      <c r="BJ153" s="27"/>
      <c r="BK153" s="27"/>
      <c r="BL153" s="27"/>
      <c r="BM153" s="27"/>
    </row>
    <row r="154">
      <c r="I154" s="27"/>
      <c r="J154" s="27"/>
      <c r="K154" s="27"/>
      <c r="L154" s="27"/>
      <c r="M154" s="28"/>
      <c r="N154" s="29"/>
      <c r="O154" s="29"/>
      <c r="P154" s="29"/>
      <c r="Q154" s="27"/>
      <c r="R154" s="27"/>
      <c r="S154" s="27"/>
      <c r="T154" s="27"/>
      <c r="U154" s="27"/>
      <c r="V154" s="27"/>
      <c r="AE154" s="27"/>
      <c r="AF154" s="27"/>
      <c r="AG154" s="27"/>
      <c r="AH154" s="27"/>
      <c r="AI154" s="28"/>
      <c r="AJ154" s="29"/>
      <c r="AK154" s="29"/>
      <c r="AL154" s="27"/>
      <c r="AM154" s="27"/>
      <c r="AN154" s="27"/>
      <c r="AO154" s="27"/>
      <c r="AP154" s="27"/>
      <c r="AY154" s="27"/>
      <c r="AZ154" s="27"/>
      <c r="BA154" s="27"/>
      <c r="BB154" s="27"/>
      <c r="BC154" s="28"/>
      <c r="BD154" s="29"/>
      <c r="BE154" s="29"/>
      <c r="BF154" s="27"/>
      <c r="BG154" s="27"/>
      <c r="BH154" s="27"/>
      <c r="BI154" s="27"/>
      <c r="BJ154" s="27"/>
      <c r="BK154" s="27"/>
      <c r="BL154" s="27"/>
      <c r="BM154" s="27"/>
    </row>
    <row r="155">
      <c r="I155" s="27"/>
      <c r="J155" s="27"/>
      <c r="K155" s="27"/>
      <c r="L155" s="27"/>
      <c r="M155" s="28"/>
      <c r="N155" s="29"/>
      <c r="O155" s="29"/>
      <c r="P155" s="29"/>
      <c r="Q155" s="27"/>
      <c r="R155" s="27"/>
      <c r="S155" s="27"/>
      <c r="T155" s="27"/>
      <c r="U155" s="27"/>
      <c r="V155" s="27"/>
      <c r="AE155" s="27"/>
      <c r="AF155" s="27"/>
      <c r="AG155" s="27"/>
      <c r="AH155" s="27"/>
      <c r="AI155" s="28"/>
      <c r="AJ155" s="29"/>
      <c r="AK155" s="29"/>
      <c r="AL155" s="27"/>
      <c r="AM155" s="27"/>
      <c r="AN155" s="27"/>
      <c r="AO155" s="27"/>
      <c r="AP155" s="27"/>
      <c r="AY155" s="27"/>
      <c r="AZ155" s="27"/>
      <c r="BA155" s="27"/>
      <c r="BB155" s="27"/>
      <c r="BC155" s="28"/>
      <c r="BD155" s="29"/>
      <c r="BE155" s="29"/>
      <c r="BF155" s="27"/>
      <c r="BG155" s="27"/>
      <c r="BH155" s="27"/>
      <c r="BI155" s="27"/>
      <c r="BJ155" s="27"/>
      <c r="BK155" s="27"/>
      <c r="BL155" s="27"/>
      <c r="BM155" s="27"/>
    </row>
    <row r="156">
      <c r="I156" s="27"/>
      <c r="J156" s="27"/>
      <c r="K156" s="27"/>
      <c r="L156" s="27"/>
      <c r="M156" s="28"/>
      <c r="N156" s="29"/>
      <c r="O156" s="29"/>
      <c r="P156" s="29"/>
      <c r="Q156" s="27"/>
      <c r="R156" s="27"/>
      <c r="S156" s="27"/>
      <c r="T156" s="27"/>
      <c r="U156" s="27"/>
      <c r="V156" s="27"/>
      <c r="AE156" s="27"/>
      <c r="AF156" s="27"/>
      <c r="AG156" s="27"/>
      <c r="AH156" s="27"/>
      <c r="AI156" s="28"/>
      <c r="AJ156" s="29"/>
      <c r="AK156" s="29"/>
      <c r="AL156" s="27"/>
      <c r="AM156" s="27"/>
      <c r="AN156" s="27"/>
      <c r="AO156" s="27"/>
      <c r="AP156" s="27"/>
      <c r="AY156" s="27"/>
      <c r="AZ156" s="27"/>
      <c r="BA156" s="27"/>
      <c r="BB156" s="27"/>
      <c r="BC156" s="28"/>
      <c r="BD156" s="29"/>
      <c r="BE156" s="29"/>
      <c r="BF156" s="27"/>
      <c r="BG156" s="27"/>
      <c r="BH156" s="27"/>
      <c r="BI156" s="27"/>
      <c r="BJ156" s="27"/>
      <c r="BK156" s="27"/>
      <c r="BL156" s="27"/>
      <c r="BM156" s="27"/>
    </row>
    <row r="157">
      <c r="I157" s="27"/>
      <c r="J157" s="27"/>
      <c r="K157" s="27"/>
      <c r="L157" s="27"/>
      <c r="M157" s="28"/>
      <c r="N157" s="29"/>
      <c r="O157" s="29"/>
      <c r="P157" s="29"/>
      <c r="Q157" s="27"/>
      <c r="R157" s="27"/>
      <c r="S157" s="27"/>
      <c r="T157" s="27"/>
      <c r="U157" s="27"/>
      <c r="V157" s="27"/>
      <c r="AE157" s="27"/>
      <c r="AF157" s="27"/>
      <c r="AG157" s="27"/>
      <c r="AH157" s="27"/>
      <c r="AI157" s="28"/>
      <c r="AJ157" s="29"/>
      <c r="AK157" s="29"/>
      <c r="AL157" s="27"/>
      <c r="AM157" s="27"/>
      <c r="AN157" s="27"/>
      <c r="AO157" s="27"/>
      <c r="AP157" s="27"/>
      <c r="AY157" s="27"/>
      <c r="AZ157" s="27"/>
      <c r="BA157" s="27"/>
      <c r="BB157" s="27"/>
      <c r="BC157" s="28"/>
      <c r="BD157" s="29"/>
      <c r="BE157" s="29"/>
      <c r="BF157" s="27"/>
      <c r="BG157" s="27"/>
      <c r="BH157" s="27"/>
      <c r="BI157" s="27"/>
      <c r="BJ157" s="27"/>
      <c r="BK157" s="27"/>
      <c r="BL157" s="27"/>
      <c r="BM157" s="27"/>
    </row>
    <row r="158">
      <c r="I158" s="27"/>
      <c r="J158" s="27"/>
      <c r="K158" s="27"/>
      <c r="L158" s="27"/>
      <c r="M158" s="28"/>
      <c r="N158" s="29"/>
      <c r="O158" s="29"/>
      <c r="P158" s="29"/>
      <c r="Q158" s="27"/>
      <c r="R158" s="27"/>
      <c r="S158" s="27"/>
      <c r="T158" s="27"/>
      <c r="U158" s="27"/>
      <c r="V158" s="27"/>
      <c r="AE158" s="27"/>
      <c r="AF158" s="27"/>
      <c r="AG158" s="27"/>
      <c r="AH158" s="27"/>
      <c r="AI158" s="28"/>
      <c r="AJ158" s="29"/>
      <c r="AK158" s="29"/>
      <c r="AL158" s="27"/>
      <c r="AM158" s="27"/>
      <c r="AN158" s="27"/>
      <c r="AO158" s="27"/>
      <c r="AP158" s="27"/>
      <c r="AY158" s="27"/>
      <c r="AZ158" s="27"/>
      <c r="BA158" s="27"/>
      <c r="BB158" s="27"/>
      <c r="BC158" s="28"/>
      <c r="BD158" s="29"/>
      <c r="BE158" s="29"/>
      <c r="BF158" s="27"/>
      <c r="BG158" s="27"/>
      <c r="BH158" s="27"/>
      <c r="BI158" s="27"/>
      <c r="BJ158" s="27"/>
      <c r="BK158" s="27"/>
      <c r="BL158" s="27"/>
      <c r="BM158" s="27"/>
    </row>
    <row r="159">
      <c r="I159" s="27"/>
      <c r="J159" s="27"/>
      <c r="K159" s="27"/>
      <c r="L159" s="27"/>
      <c r="M159" s="28"/>
      <c r="N159" s="29"/>
      <c r="O159" s="29"/>
      <c r="P159" s="29"/>
      <c r="Q159" s="27"/>
      <c r="R159" s="27"/>
      <c r="S159" s="27"/>
      <c r="T159" s="27"/>
      <c r="U159" s="27"/>
      <c r="V159" s="27"/>
      <c r="AE159" s="27"/>
      <c r="AF159" s="27"/>
      <c r="AG159" s="27"/>
      <c r="AH159" s="27"/>
      <c r="AI159" s="28"/>
      <c r="AJ159" s="29"/>
      <c r="AK159" s="29"/>
      <c r="AL159" s="27"/>
      <c r="AM159" s="27"/>
      <c r="AN159" s="27"/>
      <c r="AO159" s="27"/>
      <c r="AP159" s="27"/>
      <c r="AY159" s="27"/>
      <c r="AZ159" s="27"/>
      <c r="BA159" s="27"/>
      <c r="BB159" s="27"/>
      <c r="BC159" s="28"/>
      <c r="BD159" s="29"/>
      <c r="BE159" s="29"/>
      <c r="BF159" s="27"/>
      <c r="BG159" s="27"/>
      <c r="BH159" s="27"/>
      <c r="BI159" s="27"/>
      <c r="BJ159" s="27"/>
      <c r="BK159" s="27"/>
      <c r="BL159" s="27"/>
      <c r="BM159" s="27"/>
    </row>
    <row r="160">
      <c r="I160" s="27"/>
      <c r="J160" s="27"/>
      <c r="K160" s="27"/>
      <c r="L160" s="27"/>
      <c r="M160" s="28"/>
      <c r="N160" s="29"/>
      <c r="O160" s="29"/>
      <c r="P160" s="29"/>
      <c r="Q160" s="27"/>
      <c r="R160" s="27"/>
      <c r="S160" s="27"/>
      <c r="T160" s="27"/>
      <c r="U160" s="27"/>
      <c r="V160" s="27"/>
      <c r="AE160" s="27"/>
      <c r="AF160" s="27"/>
      <c r="AG160" s="27"/>
      <c r="AH160" s="27"/>
      <c r="AI160" s="28"/>
      <c r="AJ160" s="29"/>
      <c r="AK160" s="29"/>
      <c r="AL160" s="27"/>
      <c r="AM160" s="27"/>
      <c r="AN160" s="27"/>
      <c r="AO160" s="27"/>
      <c r="AP160" s="27"/>
      <c r="AY160" s="27"/>
      <c r="AZ160" s="27"/>
      <c r="BA160" s="27"/>
      <c r="BB160" s="27"/>
      <c r="BC160" s="28"/>
      <c r="BD160" s="29"/>
      <c r="BE160" s="29"/>
      <c r="BF160" s="27"/>
      <c r="BG160" s="27"/>
      <c r="BH160" s="27"/>
      <c r="BI160" s="27"/>
      <c r="BJ160" s="27"/>
      <c r="BK160" s="27"/>
      <c r="BL160" s="27"/>
      <c r="BM160" s="27"/>
    </row>
    <row r="161">
      <c r="I161" s="27"/>
      <c r="J161" s="27"/>
      <c r="K161" s="27"/>
      <c r="L161" s="27"/>
      <c r="M161" s="28"/>
      <c r="N161" s="29"/>
      <c r="O161" s="29"/>
      <c r="P161" s="29"/>
      <c r="Q161" s="27"/>
      <c r="R161" s="27"/>
      <c r="S161" s="27"/>
      <c r="T161" s="27"/>
      <c r="U161" s="27"/>
      <c r="V161" s="27"/>
      <c r="AE161" s="27"/>
      <c r="AF161" s="27"/>
      <c r="AG161" s="27"/>
      <c r="AH161" s="27"/>
      <c r="AI161" s="28"/>
      <c r="AJ161" s="29"/>
      <c r="AK161" s="29"/>
      <c r="AL161" s="27"/>
      <c r="AM161" s="27"/>
      <c r="AN161" s="27"/>
      <c r="AO161" s="27"/>
      <c r="AP161" s="27"/>
      <c r="AY161" s="27"/>
      <c r="AZ161" s="27"/>
      <c r="BA161" s="27"/>
      <c r="BB161" s="27"/>
      <c r="BC161" s="28"/>
      <c r="BD161" s="29"/>
      <c r="BE161" s="29"/>
      <c r="BF161" s="27"/>
      <c r="BG161" s="27"/>
      <c r="BH161" s="27"/>
      <c r="BI161" s="27"/>
      <c r="BJ161" s="27"/>
      <c r="BK161" s="27"/>
      <c r="BL161" s="27"/>
      <c r="BM161" s="27"/>
    </row>
    <row r="162">
      <c r="I162" s="27"/>
      <c r="J162" s="27"/>
      <c r="K162" s="27"/>
      <c r="L162" s="27"/>
      <c r="M162" s="28"/>
      <c r="N162" s="29"/>
      <c r="O162" s="29"/>
      <c r="P162" s="29"/>
      <c r="Q162" s="27"/>
      <c r="R162" s="27"/>
      <c r="S162" s="27"/>
      <c r="T162" s="27"/>
      <c r="U162" s="27"/>
      <c r="V162" s="27"/>
      <c r="AE162" s="27"/>
      <c r="AF162" s="27"/>
      <c r="AG162" s="27"/>
      <c r="AH162" s="27"/>
      <c r="AI162" s="28"/>
      <c r="AJ162" s="29"/>
      <c r="AK162" s="29"/>
      <c r="AL162" s="27"/>
      <c r="AM162" s="27"/>
      <c r="AN162" s="27"/>
      <c r="AO162" s="27"/>
      <c r="AP162" s="27"/>
      <c r="AY162" s="27"/>
      <c r="AZ162" s="27"/>
      <c r="BA162" s="27"/>
      <c r="BB162" s="27"/>
      <c r="BC162" s="28"/>
      <c r="BD162" s="29"/>
      <c r="BE162" s="29"/>
      <c r="BF162" s="27"/>
      <c r="BG162" s="27"/>
      <c r="BH162" s="27"/>
      <c r="BI162" s="27"/>
      <c r="BJ162" s="27"/>
      <c r="BK162" s="27"/>
      <c r="BL162" s="27"/>
      <c r="BM162" s="27"/>
    </row>
    <row r="163">
      <c r="I163" s="27"/>
      <c r="J163" s="27"/>
      <c r="K163" s="27"/>
      <c r="L163" s="27"/>
      <c r="M163" s="28"/>
      <c r="N163" s="29"/>
      <c r="O163" s="29"/>
      <c r="P163" s="29"/>
      <c r="Q163" s="27"/>
      <c r="R163" s="27"/>
      <c r="S163" s="27"/>
      <c r="T163" s="27"/>
      <c r="U163" s="27"/>
      <c r="V163" s="27"/>
      <c r="AE163" s="27"/>
      <c r="AF163" s="27"/>
      <c r="AG163" s="27"/>
      <c r="AH163" s="27"/>
      <c r="AI163" s="28"/>
      <c r="AJ163" s="29"/>
      <c r="AK163" s="29"/>
      <c r="AL163" s="27"/>
      <c r="AM163" s="27"/>
      <c r="AN163" s="27"/>
      <c r="AO163" s="27"/>
      <c r="AP163" s="27"/>
      <c r="AY163" s="27"/>
      <c r="AZ163" s="27"/>
      <c r="BA163" s="27"/>
      <c r="BB163" s="27"/>
      <c r="BC163" s="28"/>
      <c r="BD163" s="29"/>
      <c r="BE163" s="29"/>
      <c r="BF163" s="27"/>
      <c r="BG163" s="27"/>
      <c r="BH163" s="27"/>
      <c r="BI163" s="27"/>
      <c r="BJ163" s="27"/>
      <c r="BK163" s="27"/>
      <c r="BL163" s="27"/>
      <c r="BM163" s="27"/>
    </row>
    <row r="164">
      <c r="I164" s="27"/>
      <c r="J164" s="27"/>
      <c r="K164" s="27"/>
      <c r="L164" s="27"/>
      <c r="M164" s="28"/>
      <c r="N164" s="29"/>
      <c r="O164" s="29"/>
      <c r="P164" s="29"/>
      <c r="Q164" s="27"/>
      <c r="R164" s="27"/>
      <c r="S164" s="27"/>
      <c r="T164" s="27"/>
      <c r="U164" s="27"/>
      <c r="V164" s="27"/>
      <c r="AE164" s="27"/>
      <c r="AF164" s="27"/>
      <c r="AG164" s="27"/>
      <c r="AH164" s="27"/>
      <c r="AI164" s="28"/>
      <c r="AJ164" s="29"/>
      <c r="AK164" s="29"/>
      <c r="AL164" s="27"/>
      <c r="AM164" s="27"/>
      <c r="AN164" s="27"/>
      <c r="AO164" s="27"/>
      <c r="AP164" s="27"/>
      <c r="AY164" s="27"/>
      <c r="AZ164" s="27"/>
      <c r="BA164" s="27"/>
      <c r="BB164" s="27"/>
      <c r="BC164" s="28"/>
      <c r="BD164" s="29"/>
      <c r="BE164" s="29"/>
      <c r="BF164" s="27"/>
      <c r="BG164" s="27"/>
      <c r="BH164" s="27"/>
      <c r="BI164" s="27"/>
      <c r="BJ164" s="27"/>
      <c r="BK164" s="27"/>
      <c r="BL164" s="27"/>
      <c r="BM164" s="27"/>
    </row>
    <row r="165">
      <c r="I165" s="27"/>
      <c r="J165" s="27"/>
      <c r="K165" s="27"/>
      <c r="L165" s="27"/>
      <c r="M165" s="28"/>
      <c r="N165" s="29"/>
      <c r="O165" s="29"/>
      <c r="P165" s="29"/>
      <c r="Q165" s="27"/>
      <c r="R165" s="27"/>
      <c r="S165" s="27"/>
      <c r="T165" s="27"/>
      <c r="U165" s="27"/>
      <c r="V165" s="27"/>
      <c r="AE165" s="27"/>
      <c r="AF165" s="27"/>
      <c r="AG165" s="27"/>
      <c r="AH165" s="27"/>
      <c r="AI165" s="28"/>
      <c r="AJ165" s="29"/>
      <c r="AK165" s="29"/>
      <c r="AL165" s="27"/>
      <c r="AM165" s="27"/>
      <c r="AN165" s="27"/>
      <c r="AO165" s="27"/>
      <c r="AP165" s="27"/>
      <c r="AY165" s="27"/>
      <c r="AZ165" s="27"/>
      <c r="BA165" s="27"/>
      <c r="BB165" s="27"/>
      <c r="BC165" s="28"/>
      <c r="BD165" s="29"/>
      <c r="BE165" s="29"/>
      <c r="BF165" s="27"/>
      <c r="BG165" s="27"/>
      <c r="BH165" s="27"/>
      <c r="BI165" s="27"/>
      <c r="BJ165" s="27"/>
      <c r="BK165" s="27"/>
      <c r="BL165" s="27"/>
      <c r="BM165" s="27"/>
    </row>
    <row r="166">
      <c r="I166" s="27"/>
      <c r="J166" s="27"/>
      <c r="K166" s="27"/>
      <c r="L166" s="27"/>
      <c r="M166" s="28"/>
      <c r="N166" s="29"/>
      <c r="O166" s="29"/>
      <c r="P166" s="29"/>
      <c r="Q166" s="27"/>
      <c r="R166" s="27"/>
      <c r="S166" s="27"/>
      <c r="T166" s="27"/>
      <c r="U166" s="27"/>
      <c r="V166" s="27"/>
      <c r="AE166" s="27"/>
      <c r="AF166" s="27"/>
      <c r="AG166" s="27"/>
      <c r="AH166" s="27"/>
      <c r="AI166" s="28"/>
      <c r="AJ166" s="29"/>
      <c r="AK166" s="29"/>
      <c r="AL166" s="27"/>
      <c r="AM166" s="27"/>
      <c r="AN166" s="27"/>
      <c r="AO166" s="27"/>
      <c r="AP166" s="27"/>
      <c r="AY166" s="27"/>
      <c r="AZ166" s="27"/>
      <c r="BA166" s="27"/>
      <c r="BB166" s="27"/>
      <c r="BC166" s="28"/>
      <c r="BD166" s="29"/>
      <c r="BE166" s="29"/>
      <c r="BF166" s="27"/>
      <c r="BG166" s="27"/>
      <c r="BH166" s="27"/>
      <c r="BI166" s="27"/>
      <c r="BJ166" s="27"/>
      <c r="BK166" s="27"/>
      <c r="BL166" s="27"/>
      <c r="BM166" s="27"/>
    </row>
    <row r="167">
      <c r="I167" s="27"/>
      <c r="J167" s="27"/>
      <c r="K167" s="27"/>
      <c r="L167" s="27"/>
      <c r="M167" s="28"/>
      <c r="N167" s="29"/>
      <c r="O167" s="29"/>
      <c r="P167" s="29"/>
      <c r="Q167" s="27"/>
      <c r="R167" s="27"/>
      <c r="S167" s="27"/>
      <c r="T167" s="27"/>
      <c r="U167" s="27"/>
      <c r="V167" s="27"/>
      <c r="AE167" s="27"/>
      <c r="AF167" s="27"/>
      <c r="AG167" s="27"/>
      <c r="AH167" s="27"/>
      <c r="AI167" s="28"/>
      <c r="AJ167" s="29"/>
      <c r="AK167" s="29"/>
      <c r="AL167" s="27"/>
      <c r="AM167" s="27"/>
      <c r="AN167" s="27"/>
      <c r="AO167" s="27"/>
      <c r="AP167" s="27"/>
      <c r="AY167" s="27"/>
      <c r="AZ167" s="27"/>
      <c r="BA167" s="27"/>
      <c r="BB167" s="27"/>
      <c r="BC167" s="28"/>
      <c r="BD167" s="29"/>
      <c r="BE167" s="29"/>
      <c r="BF167" s="27"/>
      <c r="BG167" s="27"/>
      <c r="BH167" s="27"/>
      <c r="BI167" s="27"/>
      <c r="BJ167" s="27"/>
      <c r="BK167" s="27"/>
      <c r="BL167" s="27"/>
      <c r="BM167" s="27"/>
    </row>
    <row r="168">
      <c r="I168" s="27"/>
      <c r="J168" s="27"/>
      <c r="K168" s="27"/>
      <c r="L168" s="27"/>
      <c r="M168" s="28"/>
      <c r="N168" s="29"/>
      <c r="O168" s="29"/>
      <c r="P168" s="29"/>
      <c r="Q168" s="27"/>
      <c r="R168" s="27"/>
      <c r="S168" s="27"/>
      <c r="T168" s="27"/>
      <c r="U168" s="27"/>
      <c r="V168" s="27"/>
      <c r="AE168" s="27"/>
      <c r="AF168" s="27"/>
      <c r="AG168" s="27"/>
      <c r="AH168" s="27"/>
      <c r="AI168" s="28"/>
      <c r="AJ168" s="29"/>
      <c r="AK168" s="29"/>
      <c r="AL168" s="27"/>
      <c r="AM168" s="27"/>
      <c r="AN168" s="27"/>
      <c r="AO168" s="27"/>
      <c r="AP168" s="27"/>
      <c r="AY168" s="27"/>
      <c r="AZ168" s="27"/>
      <c r="BA168" s="27"/>
      <c r="BB168" s="27"/>
      <c r="BC168" s="28"/>
      <c r="BD168" s="29"/>
      <c r="BE168" s="29"/>
      <c r="BF168" s="27"/>
      <c r="BG168" s="27"/>
      <c r="BH168" s="27"/>
      <c r="BI168" s="27"/>
      <c r="BJ168" s="27"/>
      <c r="BK168" s="27"/>
      <c r="BL168" s="27"/>
      <c r="BM168" s="27"/>
    </row>
    <row r="169">
      <c r="I169" s="27"/>
      <c r="J169" s="27"/>
      <c r="K169" s="27"/>
      <c r="L169" s="27"/>
      <c r="M169" s="28"/>
      <c r="N169" s="29"/>
      <c r="O169" s="29"/>
      <c r="P169" s="29"/>
      <c r="Q169" s="27"/>
      <c r="R169" s="27"/>
      <c r="S169" s="27"/>
      <c r="T169" s="27"/>
      <c r="U169" s="27"/>
      <c r="V169" s="27"/>
      <c r="AE169" s="27"/>
      <c r="AF169" s="27"/>
      <c r="AG169" s="27"/>
      <c r="AH169" s="27"/>
      <c r="AI169" s="28"/>
      <c r="AJ169" s="29"/>
      <c r="AK169" s="29"/>
      <c r="AL169" s="27"/>
      <c r="AM169" s="27"/>
      <c r="AN169" s="27"/>
      <c r="AO169" s="27"/>
      <c r="AP169" s="27"/>
      <c r="AY169" s="27"/>
      <c r="AZ169" s="27"/>
      <c r="BA169" s="27"/>
      <c r="BB169" s="27"/>
      <c r="BC169" s="28"/>
      <c r="BD169" s="29"/>
      <c r="BE169" s="29"/>
      <c r="BF169" s="27"/>
      <c r="BG169" s="27"/>
      <c r="BH169" s="27"/>
      <c r="BI169" s="27"/>
      <c r="BJ169" s="27"/>
      <c r="BK169" s="27"/>
      <c r="BL169" s="27"/>
      <c r="BM169" s="27"/>
    </row>
    <row r="170">
      <c r="I170" s="27"/>
      <c r="J170" s="27"/>
      <c r="K170" s="27"/>
      <c r="L170" s="27"/>
      <c r="M170" s="28"/>
      <c r="N170" s="29"/>
      <c r="O170" s="29"/>
      <c r="P170" s="29"/>
      <c r="Q170" s="27"/>
      <c r="R170" s="27"/>
      <c r="S170" s="27"/>
      <c r="T170" s="27"/>
      <c r="U170" s="27"/>
      <c r="V170" s="27"/>
      <c r="AE170" s="27"/>
      <c r="AF170" s="27"/>
      <c r="AG170" s="27"/>
      <c r="AH170" s="27"/>
      <c r="AI170" s="28"/>
      <c r="AJ170" s="29"/>
      <c r="AK170" s="29"/>
      <c r="AL170" s="27"/>
      <c r="AM170" s="27"/>
      <c r="AN170" s="27"/>
      <c r="AO170" s="27"/>
      <c r="AP170" s="27"/>
      <c r="AY170" s="27"/>
      <c r="AZ170" s="27"/>
      <c r="BA170" s="27"/>
      <c r="BB170" s="27"/>
      <c r="BC170" s="28"/>
      <c r="BD170" s="29"/>
      <c r="BE170" s="29"/>
      <c r="BF170" s="27"/>
      <c r="BG170" s="27"/>
      <c r="BH170" s="27"/>
      <c r="BI170" s="27"/>
      <c r="BJ170" s="27"/>
      <c r="BK170" s="27"/>
      <c r="BL170" s="27"/>
      <c r="BM170" s="27"/>
    </row>
    <row r="171">
      <c r="I171" s="27"/>
      <c r="J171" s="27"/>
      <c r="K171" s="27"/>
      <c r="L171" s="27"/>
      <c r="M171" s="28"/>
      <c r="N171" s="29"/>
      <c r="O171" s="29"/>
      <c r="P171" s="29"/>
      <c r="Q171" s="27"/>
      <c r="R171" s="27"/>
      <c r="S171" s="27"/>
      <c r="T171" s="27"/>
      <c r="U171" s="27"/>
      <c r="V171" s="27"/>
      <c r="AE171" s="27"/>
      <c r="AF171" s="27"/>
      <c r="AG171" s="27"/>
      <c r="AH171" s="27"/>
      <c r="AI171" s="28"/>
      <c r="AJ171" s="29"/>
      <c r="AK171" s="29"/>
      <c r="AL171" s="27"/>
      <c r="AM171" s="27"/>
      <c r="AN171" s="27"/>
      <c r="AO171" s="27"/>
      <c r="AP171" s="27"/>
      <c r="AY171" s="27"/>
      <c r="AZ171" s="27"/>
      <c r="BA171" s="27"/>
      <c r="BB171" s="27"/>
      <c r="BC171" s="28"/>
      <c r="BD171" s="29"/>
      <c r="BE171" s="29"/>
      <c r="BF171" s="27"/>
      <c r="BG171" s="27"/>
      <c r="BH171" s="27"/>
      <c r="BI171" s="27"/>
      <c r="BJ171" s="27"/>
      <c r="BK171" s="27"/>
      <c r="BL171" s="27"/>
      <c r="BM171" s="27"/>
    </row>
    <row r="172">
      <c r="I172" s="27"/>
      <c r="J172" s="27"/>
      <c r="K172" s="27"/>
      <c r="L172" s="27"/>
      <c r="M172" s="28"/>
      <c r="N172" s="29"/>
      <c r="O172" s="29"/>
      <c r="P172" s="29"/>
      <c r="Q172" s="27"/>
      <c r="R172" s="27"/>
      <c r="S172" s="27"/>
      <c r="T172" s="27"/>
      <c r="U172" s="27"/>
      <c r="V172" s="27"/>
      <c r="AE172" s="27"/>
      <c r="AF172" s="27"/>
      <c r="AG172" s="27"/>
      <c r="AH172" s="27"/>
      <c r="AI172" s="28"/>
      <c r="AJ172" s="29"/>
      <c r="AK172" s="29"/>
      <c r="AL172" s="27"/>
      <c r="AM172" s="27"/>
      <c r="AN172" s="27"/>
      <c r="AO172" s="27"/>
      <c r="AP172" s="27"/>
      <c r="AY172" s="27"/>
      <c r="AZ172" s="27"/>
      <c r="BA172" s="27"/>
      <c r="BB172" s="27"/>
      <c r="BC172" s="28"/>
      <c r="BD172" s="29"/>
      <c r="BE172" s="29"/>
      <c r="BF172" s="27"/>
      <c r="BG172" s="27"/>
      <c r="BH172" s="27"/>
      <c r="BI172" s="27"/>
      <c r="BJ172" s="27"/>
      <c r="BK172" s="27"/>
      <c r="BL172" s="27"/>
      <c r="BM172" s="27"/>
    </row>
    <row r="173">
      <c r="I173" s="27"/>
      <c r="J173" s="27"/>
      <c r="K173" s="27"/>
      <c r="L173" s="27"/>
      <c r="M173" s="28"/>
      <c r="N173" s="29"/>
      <c r="O173" s="29"/>
      <c r="P173" s="29"/>
      <c r="Q173" s="27"/>
      <c r="R173" s="27"/>
      <c r="S173" s="27"/>
      <c r="T173" s="27"/>
      <c r="U173" s="27"/>
      <c r="V173" s="27"/>
      <c r="AE173" s="27"/>
      <c r="AF173" s="27"/>
      <c r="AG173" s="27"/>
      <c r="AH173" s="27"/>
      <c r="AI173" s="28"/>
      <c r="AJ173" s="29"/>
      <c r="AK173" s="29"/>
      <c r="AL173" s="27"/>
      <c r="AM173" s="27"/>
      <c r="AN173" s="27"/>
      <c r="AO173" s="27"/>
      <c r="AP173" s="27"/>
      <c r="AY173" s="27"/>
      <c r="AZ173" s="27"/>
      <c r="BA173" s="27"/>
      <c r="BB173" s="27"/>
      <c r="BC173" s="28"/>
      <c r="BD173" s="29"/>
      <c r="BE173" s="29"/>
      <c r="BF173" s="27"/>
      <c r="BG173" s="27"/>
      <c r="BH173" s="27"/>
      <c r="BI173" s="27"/>
      <c r="BJ173" s="27"/>
      <c r="BK173" s="27"/>
      <c r="BL173" s="27"/>
      <c r="BM173" s="27"/>
    </row>
    <row r="174">
      <c r="I174" s="27"/>
      <c r="J174" s="27"/>
      <c r="K174" s="27"/>
      <c r="L174" s="27"/>
      <c r="M174" s="28"/>
      <c r="N174" s="29"/>
      <c r="O174" s="29"/>
      <c r="P174" s="29"/>
      <c r="Q174" s="27"/>
      <c r="R174" s="27"/>
      <c r="S174" s="27"/>
      <c r="T174" s="27"/>
      <c r="U174" s="27"/>
      <c r="V174" s="27"/>
      <c r="AE174" s="27"/>
      <c r="AF174" s="27"/>
      <c r="AG174" s="27"/>
      <c r="AH174" s="27"/>
      <c r="AI174" s="28"/>
      <c r="AJ174" s="29"/>
      <c r="AK174" s="29"/>
      <c r="AL174" s="27"/>
      <c r="AM174" s="27"/>
      <c r="AN174" s="27"/>
      <c r="AO174" s="27"/>
      <c r="AP174" s="27"/>
      <c r="AY174" s="27"/>
      <c r="AZ174" s="27"/>
      <c r="BA174" s="27"/>
      <c r="BB174" s="27"/>
      <c r="BC174" s="28"/>
      <c r="BD174" s="29"/>
      <c r="BE174" s="29"/>
      <c r="BF174" s="27"/>
      <c r="BG174" s="27"/>
      <c r="BH174" s="27"/>
      <c r="BI174" s="27"/>
      <c r="BJ174" s="27"/>
      <c r="BK174" s="27"/>
      <c r="BL174" s="27"/>
      <c r="BM174" s="27"/>
    </row>
    <row r="175">
      <c r="I175" s="27"/>
      <c r="J175" s="27"/>
      <c r="K175" s="27"/>
      <c r="L175" s="27"/>
      <c r="M175" s="28"/>
      <c r="N175" s="29"/>
      <c r="O175" s="29"/>
      <c r="P175" s="29"/>
      <c r="Q175" s="27"/>
      <c r="R175" s="27"/>
      <c r="S175" s="27"/>
      <c r="T175" s="27"/>
      <c r="U175" s="27"/>
      <c r="V175" s="27"/>
      <c r="AE175" s="27"/>
      <c r="AF175" s="27"/>
      <c r="AG175" s="27"/>
      <c r="AH175" s="27"/>
      <c r="AI175" s="28"/>
      <c r="AJ175" s="29"/>
      <c r="AK175" s="29"/>
      <c r="AL175" s="27"/>
      <c r="AM175" s="27"/>
      <c r="AN175" s="27"/>
      <c r="AO175" s="27"/>
      <c r="AP175" s="27"/>
      <c r="AY175" s="27"/>
      <c r="AZ175" s="27"/>
      <c r="BA175" s="27"/>
      <c r="BB175" s="27"/>
      <c r="BC175" s="28"/>
      <c r="BD175" s="29"/>
      <c r="BE175" s="29"/>
      <c r="BF175" s="27"/>
      <c r="BG175" s="27"/>
      <c r="BH175" s="27"/>
      <c r="BI175" s="27"/>
      <c r="BJ175" s="27"/>
      <c r="BK175" s="27"/>
      <c r="BL175" s="27"/>
      <c r="BM175" s="27"/>
    </row>
    <row r="176">
      <c r="I176" s="27"/>
      <c r="J176" s="27"/>
      <c r="K176" s="27"/>
      <c r="L176" s="27"/>
      <c r="M176" s="28"/>
      <c r="N176" s="29"/>
      <c r="O176" s="29"/>
      <c r="P176" s="29"/>
      <c r="Q176" s="27"/>
      <c r="R176" s="27"/>
      <c r="S176" s="27"/>
      <c r="T176" s="27"/>
      <c r="U176" s="27"/>
      <c r="V176" s="27"/>
      <c r="AE176" s="27"/>
      <c r="AF176" s="27"/>
      <c r="AG176" s="27"/>
      <c r="AH176" s="27"/>
      <c r="AI176" s="28"/>
      <c r="AJ176" s="29"/>
      <c r="AK176" s="29"/>
      <c r="AL176" s="27"/>
      <c r="AM176" s="27"/>
      <c r="AN176" s="27"/>
      <c r="AO176" s="27"/>
      <c r="AP176" s="27"/>
      <c r="AY176" s="27"/>
      <c r="AZ176" s="27"/>
      <c r="BA176" s="27"/>
      <c r="BB176" s="27"/>
      <c r="BC176" s="28"/>
      <c r="BD176" s="29"/>
      <c r="BE176" s="29"/>
      <c r="BF176" s="27"/>
      <c r="BG176" s="27"/>
      <c r="BH176" s="27"/>
      <c r="BI176" s="27"/>
      <c r="BJ176" s="27"/>
      <c r="BK176" s="27"/>
      <c r="BL176" s="27"/>
      <c r="BM176" s="27"/>
    </row>
    <row r="177">
      <c r="I177" s="27"/>
      <c r="J177" s="27"/>
      <c r="K177" s="27"/>
      <c r="L177" s="27"/>
      <c r="M177" s="28"/>
      <c r="N177" s="29"/>
      <c r="O177" s="29"/>
      <c r="P177" s="29"/>
      <c r="Q177" s="27"/>
      <c r="R177" s="27"/>
      <c r="S177" s="27"/>
      <c r="T177" s="27"/>
      <c r="U177" s="27"/>
      <c r="V177" s="27"/>
      <c r="AE177" s="27"/>
      <c r="AF177" s="27"/>
      <c r="AG177" s="27"/>
      <c r="AH177" s="27"/>
      <c r="AI177" s="28"/>
      <c r="AJ177" s="29"/>
      <c r="AK177" s="29"/>
      <c r="AL177" s="27"/>
      <c r="AM177" s="27"/>
      <c r="AN177" s="27"/>
      <c r="AO177" s="27"/>
      <c r="AP177" s="27"/>
      <c r="AY177" s="27"/>
      <c r="AZ177" s="27"/>
      <c r="BA177" s="27"/>
      <c r="BB177" s="27"/>
      <c r="BC177" s="28"/>
      <c r="BD177" s="29"/>
      <c r="BE177" s="29"/>
      <c r="BF177" s="27"/>
      <c r="BG177" s="27"/>
      <c r="BH177" s="27"/>
      <c r="BI177" s="27"/>
      <c r="BJ177" s="27"/>
      <c r="BK177" s="27"/>
      <c r="BL177" s="27"/>
      <c r="BM177" s="27"/>
    </row>
    <row r="178">
      <c r="I178" s="27"/>
      <c r="J178" s="27"/>
      <c r="K178" s="27"/>
      <c r="L178" s="27"/>
      <c r="M178" s="28"/>
      <c r="N178" s="29"/>
      <c r="O178" s="29"/>
      <c r="P178" s="29"/>
      <c r="Q178" s="27"/>
      <c r="R178" s="27"/>
      <c r="S178" s="27"/>
      <c r="T178" s="27"/>
      <c r="U178" s="27"/>
      <c r="V178" s="27"/>
      <c r="AE178" s="27"/>
      <c r="AF178" s="27"/>
      <c r="AG178" s="27"/>
      <c r="AH178" s="27"/>
      <c r="AI178" s="28"/>
      <c r="AJ178" s="29"/>
      <c r="AK178" s="29"/>
      <c r="AL178" s="27"/>
      <c r="AM178" s="27"/>
      <c r="AN178" s="27"/>
      <c r="AO178" s="27"/>
      <c r="AP178" s="27"/>
      <c r="AY178" s="27"/>
      <c r="AZ178" s="27"/>
      <c r="BA178" s="27"/>
      <c r="BB178" s="27"/>
      <c r="BC178" s="28"/>
      <c r="BD178" s="29"/>
      <c r="BE178" s="29"/>
      <c r="BF178" s="27"/>
      <c r="BG178" s="27"/>
      <c r="BH178" s="27"/>
      <c r="BI178" s="27"/>
      <c r="BJ178" s="27"/>
      <c r="BK178" s="27"/>
      <c r="BL178" s="27"/>
      <c r="BM178" s="27"/>
    </row>
    <row r="179">
      <c r="I179" s="27"/>
      <c r="J179" s="27"/>
      <c r="K179" s="27"/>
      <c r="L179" s="27"/>
      <c r="M179" s="28"/>
      <c r="N179" s="29"/>
      <c r="O179" s="29"/>
      <c r="P179" s="29"/>
      <c r="Q179" s="27"/>
      <c r="R179" s="27"/>
      <c r="S179" s="27"/>
      <c r="T179" s="27"/>
      <c r="U179" s="27"/>
      <c r="V179" s="27"/>
      <c r="AE179" s="27"/>
      <c r="AF179" s="27"/>
      <c r="AG179" s="27"/>
      <c r="AH179" s="27"/>
      <c r="AI179" s="28"/>
      <c r="AJ179" s="29"/>
      <c r="AK179" s="29"/>
      <c r="AL179" s="27"/>
      <c r="AM179" s="27"/>
      <c r="AN179" s="27"/>
      <c r="AO179" s="27"/>
      <c r="AP179" s="27"/>
      <c r="AY179" s="27"/>
      <c r="AZ179" s="27"/>
      <c r="BA179" s="27"/>
      <c r="BB179" s="27"/>
      <c r="BC179" s="28"/>
      <c r="BD179" s="29"/>
      <c r="BE179" s="29"/>
      <c r="BF179" s="27"/>
      <c r="BG179" s="27"/>
      <c r="BH179" s="27"/>
      <c r="BI179" s="27"/>
      <c r="BJ179" s="27"/>
      <c r="BK179" s="27"/>
      <c r="BL179" s="27"/>
      <c r="BM179" s="27"/>
    </row>
    <row r="180">
      <c r="I180" s="27"/>
      <c r="J180" s="27"/>
      <c r="K180" s="27"/>
      <c r="L180" s="27"/>
      <c r="M180" s="28"/>
      <c r="N180" s="29"/>
      <c r="O180" s="29"/>
      <c r="P180" s="29"/>
      <c r="Q180" s="27"/>
      <c r="R180" s="27"/>
      <c r="S180" s="27"/>
      <c r="T180" s="27"/>
      <c r="U180" s="27"/>
      <c r="V180" s="27"/>
      <c r="AE180" s="27"/>
      <c r="AF180" s="27"/>
      <c r="AG180" s="27"/>
      <c r="AH180" s="27"/>
      <c r="AI180" s="28"/>
      <c r="AJ180" s="29"/>
      <c r="AK180" s="29"/>
      <c r="AL180" s="27"/>
      <c r="AM180" s="27"/>
      <c r="AN180" s="27"/>
      <c r="AO180" s="27"/>
      <c r="AP180" s="27"/>
      <c r="AY180" s="27"/>
      <c r="AZ180" s="27"/>
      <c r="BA180" s="27"/>
      <c r="BB180" s="27"/>
      <c r="BC180" s="28"/>
      <c r="BD180" s="29"/>
      <c r="BE180" s="29"/>
      <c r="BF180" s="27"/>
      <c r="BG180" s="27"/>
      <c r="BH180" s="27"/>
      <c r="BI180" s="27"/>
      <c r="BJ180" s="27"/>
      <c r="BK180" s="27"/>
      <c r="BL180" s="27"/>
      <c r="BM180" s="27"/>
    </row>
    <row r="181">
      <c r="I181" s="27"/>
      <c r="J181" s="27"/>
      <c r="K181" s="27"/>
      <c r="L181" s="27"/>
      <c r="M181" s="28"/>
      <c r="N181" s="29"/>
      <c r="O181" s="29"/>
      <c r="P181" s="29"/>
      <c r="Q181" s="27"/>
      <c r="R181" s="27"/>
      <c r="S181" s="27"/>
      <c r="T181" s="27"/>
      <c r="U181" s="27"/>
      <c r="V181" s="27"/>
      <c r="AE181" s="27"/>
      <c r="AF181" s="27"/>
      <c r="AG181" s="27"/>
      <c r="AH181" s="27"/>
      <c r="AI181" s="28"/>
      <c r="AJ181" s="29"/>
      <c r="AK181" s="29"/>
      <c r="AL181" s="27"/>
      <c r="AM181" s="27"/>
      <c r="AN181" s="27"/>
      <c r="AO181" s="27"/>
      <c r="AP181" s="27"/>
      <c r="AY181" s="27"/>
      <c r="AZ181" s="27"/>
      <c r="BA181" s="27"/>
      <c r="BB181" s="27"/>
      <c r="BC181" s="28"/>
      <c r="BD181" s="29"/>
      <c r="BE181" s="29"/>
      <c r="BF181" s="27"/>
      <c r="BG181" s="27"/>
      <c r="BH181" s="27"/>
      <c r="BI181" s="27"/>
      <c r="BJ181" s="27"/>
      <c r="BK181" s="27"/>
      <c r="BL181" s="27"/>
      <c r="BM181" s="27"/>
    </row>
    <row r="182">
      <c r="I182" s="27"/>
      <c r="J182" s="27"/>
      <c r="K182" s="27"/>
      <c r="L182" s="27"/>
      <c r="M182" s="28"/>
      <c r="N182" s="29"/>
      <c r="O182" s="29"/>
      <c r="P182" s="29"/>
      <c r="Q182" s="27"/>
      <c r="R182" s="27"/>
      <c r="S182" s="27"/>
      <c r="T182" s="27"/>
      <c r="U182" s="27"/>
      <c r="V182" s="27"/>
      <c r="AE182" s="27"/>
      <c r="AF182" s="27"/>
      <c r="AG182" s="27"/>
      <c r="AH182" s="27"/>
      <c r="AI182" s="28"/>
      <c r="AJ182" s="29"/>
      <c r="AK182" s="29"/>
      <c r="AL182" s="27"/>
      <c r="AM182" s="27"/>
      <c r="AN182" s="27"/>
      <c r="AO182" s="27"/>
      <c r="AP182" s="27"/>
      <c r="AY182" s="27"/>
      <c r="AZ182" s="27"/>
      <c r="BA182" s="27"/>
      <c r="BB182" s="27"/>
      <c r="BC182" s="28"/>
      <c r="BD182" s="29"/>
      <c r="BE182" s="29"/>
      <c r="BF182" s="27"/>
      <c r="BG182" s="27"/>
      <c r="BH182" s="27"/>
      <c r="BI182" s="27"/>
      <c r="BJ182" s="27"/>
      <c r="BK182" s="27"/>
      <c r="BL182" s="27"/>
      <c r="BM182" s="27"/>
    </row>
    <row r="183">
      <c r="I183" s="27"/>
      <c r="J183" s="27"/>
      <c r="K183" s="27"/>
      <c r="L183" s="27"/>
      <c r="M183" s="28"/>
      <c r="N183" s="29"/>
      <c r="O183" s="29"/>
      <c r="P183" s="29"/>
      <c r="Q183" s="27"/>
      <c r="R183" s="27"/>
      <c r="S183" s="27"/>
      <c r="T183" s="27"/>
      <c r="U183" s="27"/>
      <c r="V183" s="27"/>
      <c r="AE183" s="27"/>
      <c r="AF183" s="27"/>
      <c r="AG183" s="27"/>
      <c r="AH183" s="27"/>
      <c r="AI183" s="28"/>
      <c r="AJ183" s="29"/>
      <c r="AK183" s="29"/>
      <c r="AL183" s="27"/>
      <c r="AM183" s="27"/>
      <c r="AN183" s="27"/>
      <c r="AO183" s="27"/>
      <c r="AP183" s="27"/>
      <c r="AY183" s="27"/>
      <c r="AZ183" s="27"/>
      <c r="BA183" s="27"/>
      <c r="BB183" s="27"/>
      <c r="BC183" s="28"/>
      <c r="BD183" s="29"/>
      <c r="BE183" s="29"/>
      <c r="BF183" s="27"/>
      <c r="BG183" s="27"/>
      <c r="BH183" s="27"/>
      <c r="BI183" s="27"/>
      <c r="BJ183" s="27"/>
      <c r="BK183" s="27"/>
      <c r="BL183" s="27"/>
      <c r="BM183" s="27"/>
    </row>
    <row r="184">
      <c r="I184" s="27"/>
      <c r="J184" s="27"/>
      <c r="K184" s="27"/>
      <c r="L184" s="27"/>
      <c r="M184" s="28"/>
      <c r="N184" s="29"/>
      <c r="O184" s="29"/>
      <c r="P184" s="29"/>
      <c r="Q184" s="27"/>
      <c r="R184" s="27"/>
      <c r="S184" s="27"/>
      <c r="T184" s="27"/>
      <c r="U184" s="27"/>
      <c r="V184" s="27"/>
      <c r="AE184" s="27"/>
      <c r="AF184" s="27"/>
      <c r="AG184" s="27"/>
      <c r="AH184" s="27"/>
      <c r="AI184" s="28"/>
      <c r="AJ184" s="29"/>
      <c r="AK184" s="29"/>
      <c r="AL184" s="27"/>
      <c r="AM184" s="27"/>
      <c r="AN184" s="27"/>
      <c r="AO184" s="27"/>
      <c r="AP184" s="27"/>
      <c r="AY184" s="27"/>
      <c r="AZ184" s="27"/>
      <c r="BA184" s="27"/>
      <c r="BB184" s="27"/>
      <c r="BC184" s="28"/>
      <c r="BD184" s="29"/>
      <c r="BE184" s="29"/>
      <c r="BF184" s="27"/>
      <c r="BG184" s="27"/>
      <c r="BH184" s="27"/>
      <c r="BI184" s="27"/>
      <c r="BJ184" s="27"/>
      <c r="BK184" s="27"/>
      <c r="BL184" s="27"/>
      <c r="BM184" s="27"/>
    </row>
    <row r="185">
      <c r="I185" s="27"/>
      <c r="J185" s="27"/>
      <c r="K185" s="27"/>
      <c r="L185" s="27"/>
      <c r="M185" s="28"/>
      <c r="N185" s="29"/>
      <c r="O185" s="29"/>
      <c r="P185" s="29"/>
      <c r="Q185" s="27"/>
      <c r="R185" s="27"/>
      <c r="S185" s="27"/>
      <c r="T185" s="27"/>
      <c r="U185" s="27"/>
      <c r="V185" s="27"/>
      <c r="AE185" s="27"/>
      <c r="AF185" s="27"/>
      <c r="AG185" s="27"/>
      <c r="AH185" s="27"/>
      <c r="AI185" s="28"/>
      <c r="AJ185" s="29"/>
      <c r="AK185" s="29"/>
      <c r="AL185" s="27"/>
      <c r="AM185" s="27"/>
      <c r="AN185" s="27"/>
      <c r="AO185" s="27"/>
      <c r="AP185" s="27"/>
      <c r="AY185" s="27"/>
      <c r="AZ185" s="27"/>
      <c r="BA185" s="27"/>
      <c r="BB185" s="27"/>
      <c r="BC185" s="28"/>
      <c r="BD185" s="29"/>
      <c r="BE185" s="29"/>
      <c r="BF185" s="27"/>
      <c r="BG185" s="27"/>
      <c r="BH185" s="27"/>
      <c r="BI185" s="27"/>
      <c r="BJ185" s="27"/>
      <c r="BK185" s="27"/>
      <c r="BL185" s="27"/>
      <c r="BM185" s="27"/>
    </row>
    <row r="186">
      <c r="I186" s="27"/>
      <c r="J186" s="27"/>
      <c r="K186" s="27"/>
      <c r="L186" s="27"/>
      <c r="M186" s="28"/>
      <c r="N186" s="29"/>
      <c r="O186" s="29"/>
      <c r="P186" s="29"/>
      <c r="Q186" s="27"/>
      <c r="R186" s="27"/>
      <c r="S186" s="27"/>
      <c r="T186" s="27"/>
      <c r="U186" s="27"/>
      <c r="V186" s="27"/>
      <c r="AE186" s="27"/>
      <c r="AF186" s="27"/>
      <c r="AG186" s="27"/>
      <c r="AH186" s="27"/>
      <c r="AI186" s="28"/>
      <c r="AJ186" s="29"/>
      <c r="AK186" s="29"/>
      <c r="AL186" s="27"/>
      <c r="AM186" s="27"/>
      <c r="AN186" s="27"/>
      <c r="AO186" s="27"/>
      <c r="AP186" s="27"/>
      <c r="AY186" s="27"/>
      <c r="AZ186" s="27"/>
      <c r="BA186" s="27"/>
      <c r="BB186" s="27"/>
      <c r="BC186" s="28"/>
      <c r="BD186" s="29"/>
      <c r="BE186" s="29"/>
      <c r="BF186" s="27"/>
      <c r="BG186" s="27"/>
      <c r="BH186" s="27"/>
      <c r="BI186" s="27"/>
      <c r="BJ186" s="27"/>
      <c r="BK186" s="27"/>
      <c r="BL186" s="27"/>
      <c r="BM186" s="27"/>
    </row>
    <row r="187">
      <c r="I187" s="27"/>
      <c r="J187" s="27"/>
      <c r="K187" s="27"/>
      <c r="L187" s="27"/>
      <c r="M187" s="28"/>
      <c r="N187" s="29"/>
      <c r="O187" s="29"/>
      <c r="P187" s="29"/>
      <c r="Q187" s="27"/>
      <c r="R187" s="27"/>
      <c r="S187" s="27"/>
      <c r="T187" s="27"/>
      <c r="U187" s="27"/>
      <c r="V187" s="27"/>
      <c r="AE187" s="27"/>
      <c r="AF187" s="27"/>
      <c r="AG187" s="27"/>
      <c r="AH187" s="27"/>
      <c r="AI187" s="28"/>
      <c r="AJ187" s="29"/>
      <c r="AK187" s="29"/>
      <c r="AL187" s="27"/>
      <c r="AM187" s="27"/>
      <c r="AN187" s="27"/>
      <c r="AO187" s="27"/>
      <c r="AP187" s="27"/>
      <c r="AY187" s="27"/>
      <c r="AZ187" s="27"/>
      <c r="BA187" s="27"/>
      <c r="BB187" s="27"/>
      <c r="BC187" s="28"/>
      <c r="BD187" s="29"/>
      <c r="BE187" s="29"/>
      <c r="BF187" s="27"/>
      <c r="BG187" s="27"/>
      <c r="BH187" s="27"/>
      <c r="BI187" s="27"/>
      <c r="BJ187" s="27"/>
      <c r="BK187" s="27"/>
      <c r="BL187" s="27"/>
      <c r="BM187" s="27"/>
    </row>
    <row r="188">
      <c r="I188" s="27"/>
      <c r="J188" s="27"/>
      <c r="K188" s="27"/>
      <c r="L188" s="27"/>
      <c r="M188" s="28"/>
      <c r="N188" s="29"/>
      <c r="O188" s="29"/>
      <c r="P188" s="29"/>
      <c r="Q188" s="27"/>
      <c r="R188" s="27"/>
      <c r="S188" s="27"/>
      <c r="T188" s="27"/>
      <c r="U188" s="27"/>
      <c r="V188" s="27"/>
      <c r="AE188" s="27"/>
      <c r="AF188" s="27"/>
      <c r="AG188" s="27"/>
      <c r="AH188" s="27"/>
      <c r="AI188" s="28"/>
      <c r="AJ188" s="29"/>
      <c r="AK188" s="29"/>
      <c r="AL188" s="27"/>
      <c r="AM188" s="27"/>
      <c r="AN188" s="27"/>
      <c r="AO188" s="27"/>
      <c r="AP188" s="27"/>
      <c r="AY188" s="27"/>
      <c r="AZ188" s="27"/>
      <c r="BA188" s="27"/>
      <c r="BB188" s="27"/>
      <c r="BC188" s="28"/>
      <c r="BD188" s="29"/>
      <c r="BE188" s="29"/>
      <c r="BF188" s="27"/>
      <c r="BG188" s="27"/>
      <c r="BH188" s="27"/>
      <c r="BI188" s="27"/>
      <c r="BJ188" s="27"/>
      <c r="BK188" s="27"/>
      <c r="BL188" s="27"/>
      <c r="BM188" s="27"/>
    </row>
    <row r="189">
      <c r="I189" s="27"/>
      <c r="J189" s="27"/>
      <c r="K189" s="27"/>
      <c r="L189" s="27"/>
      <c r="M189" s="28"/>
      <c r="N189" s="29"/>
      <c r="O189" s="29"/>
      <c r="P189" s="29"/>
      <c r="Q189" s="27"/>
      <c r="R189" s="27"/>
      <c r="S189" s="27"/>
      <c r="T189" s="27"/>
      <c r="U189" s="27"/>
      <c r="V189" s="27"/>
      <c r="AE189" s="27"/>
      <c r="AF189" s="27"/>
      <c r="AG189" s="27"/>
      <c r="AH189" s="27"/>
      <c r="AI189" s="28"/>
      <c r="AJ189" s="29"/>
      <c r="AK189" s="29"/>
      <c r="AL189" s="27"/>
      <c r="AM189" s="27"/>
      <c r="AN189" s="27"/>
      <c r="AO189" s="27"/>
      <c r="AP189" s="27"/>
      <c r="AY189" s="27"/>
      <c r="AZ189" s="27"/>
      <c r="BA189" s="27"/>
      <c r="BB189" s="27"/>
      <c r="BC189" s="28"/>
      <c r="BD189" s="29"/>
      <c r="BE189" s="29"/>
      <c r="BF189" s="27"/>
      <c r="BG189" s="27"/>
      <c r="BH189" s="27"/>
      <c r="BI189" s="27"/>
      <c r="BJ189" s="27"/>
      <c r="BK189" s="27"/>
      <c r="BL189" s="27"/>
      <c r="BM189" s="27"/>
    </row>
    <row r="190">
      <c r="I190" s="27"/>
      <c r="J190" s="27"/>
      <c r="K190" s="27"/>
      <c r="L190" s="27"/>
      <c r="M190" s="28"/>
      <c r="N190" s="29"/>
      <c r="O190" s="29"/>
      <c r="P190" s="29"/>
      <c r="Q190" s="27"/>
      <c r="R190" s="27"/>
      <c r="S190" s="27"/>
      <c r="T190" s="27"/>
      <c r="U190" s="27"/>
      <c r="V190" s="27"/>
      <c r="AE190" s="27"/>
      <c r="AF190" s="27"/>
      <c r="AG190" s="27"/>
      <c r="AH190" s="27"/>
      <c r="AI190" s="28"/>
      <c r="AJ190" s="29"/>
      <c r="AK190" s="29"/>
      <c r="AL190" s="27"/>
      <c r="AM190" s="27"/>
      <c r="AN190" s="27"/>
      <c r="AO190" s="27"/>
      <c r="AP190" s="27"/>
      <c r="AY190" s="27"/>
      <c r="AZ190" s="27"/>
      <c r="BA190" s="27"/>
      <c r="BB190" s="27"/>
      <c r="BC190" s="28"/>
      <c r="BD190" s="29"/>
      <c r="BE190" s="29"/>
      <c r="BF190" s="27"/>
      <c r="BG190" s="27"/>
      <c r="BH190" s="27"/>
      <c r="BI190" s="27"/>
      <c r="BJ190" s="27"/>
      <c r="BK190" s="27"/>
      <c r="BL190" s="27"/>
      <c r="BM190" s="27"/>
    </row>
    <row r="191">
      <c r="I191" s="27"/>
      <c r="J191" s="27"/>
      <c r="K191" s="27"/>
      <c r="L191" s="27"/>
      <c r="M191" s="28"/>
      <c r="N191" s="29"/>
      <c r="O191" s="29"/>
      <c r="P191" s="29"/>
      <c r="Q191" s="27"/>
      <c r="R191" s="27"/>
      <c r="S191" s="27"/>
      <c r="T191" s="27"/>
      <c r="U191" s="27"/>
      <c r="V191" s="27"/>
      <c r="AE191" s="27"/>
      <c r="AF191" s="27"/>
      <c r="AG191" s="27"/>
      <c r="AH191" s="27"/>
      <c r="AI191" s="28"/>
      <c r="AJ191" s="29"/>
      <c r="AK191" s="29"/>
      <c r="AL191" s="27"/>
      <c r="AM191" s="27"/>
      <c r="AN191" s="27"/>
      <c r="AO191" s="27"/>
      <c r="AP191" s="27"/>
      <c r="AY191" s="27"/>
      <c r="AZ191" s="27"/>
      <c r="BA191" s="27"/>
      <c r="BB191" s="27"/>
      <c r="BC191" s="28"/>
      <c r="BD191" s="29"/>
      <c r="BE191" s="29"/>
      <c r="BF191" s="27"/>
      <c r="BG191" s="27"/>
      <c r="BH191" s="27"/>
      <c r="BI191" s="27"/>
      <c r="BJ191" s="27"/>
      <c r="BK191" s="27"/>
      <c r="BL191" s="27"/>
      <c r="BM191" s="27"/>
    </row>
    <row r="192">
      <c r="I192" s="27"/>
      <c r="J192" s="27"/>
      <c r="K192" s="27"/>
      <c r="L192" s="27"/>
      <c r="M192" s="28"/>
      <c r="N192" s="29"/>
      <c r="O192" s="29"/>
      <c r="P192" s="29"/>
      <c r="Q192" s="27"/>
      <c r="R192" s="27"/>
      <c r="S192" s="27"/>
      <c r="T192" s="27"/>
      <c r="U192" s="27"/>
      <c r="V192" s="27"/>
      <c r="AE192" s="27"/>
      <c r="AF192" s="27"/>
      <c r="AG192" s="27"/>
      <c r="AH192" s="27"/>
      <c r="AI192" s="28"/>
      <c r="AJ192" s="29"/>
      <c r="AK192" s="29"/>
      <c r="AL192" s="27"/>
      <c r="AM192" s="27"/>
      <c r="AN192" s="27"/>
      <c r="AO192" s="27"/>
      <c r="AP192" s="27"/>
      <c r="AY192" s="27"/>
      <c r="AZ192" s="27"/>
      <c r="BA192" s="27"/>
      <c r="BB192" s="27"/>
      <c r="BC192" s="28"/>
      <c r="BD192" s="29"/>
      <c r="BE192" s="29"/>
      <c r="BF192" s="27"/>
      <c r="BG192" s="27"/>
      <c r="BH192" s="27"/>
      <c r="BI192" s="27"/>
      <c r="BJ192" s="27"/>
      <c r="BK192" s="27"/>
      <c r="BL192" s="27"/>
      <c r="BM192" s="27"/>
    </row>
    <row r="193">
      <c r="I193" s="27"/>
      <c r="J193" s="27"/>
      <c r="K193" s="27"/>
      <c r="L193" s="27"/>
      <c r="M193" s="28"/>
      <c r="N193" s="29"/>
      <c r="O193" s="29"/>
      <c r="P193" s="29"/>
      <c r="Q193" s="27"/>
      <c r="R193" s="27"/>
      <c r="S193" s="27"/>
      <c r="T193" s="27"/>
      <c r="U193" s="27"/>
      <c r="V193" s="27"/>
      <c r="AE193" s="27"/>
      <c r="AF193" s="27"/>
      <c r="AG193" s="27"/>
      <c r="AH193" s="27"/>
      <c r="AI193" s="28"/>
      <c r="AJ193" s="29"/>
      <c r="AK193" s="29"/>
      <c r="AL193" s="27"/>
      <c r="AM193" s="27"/>
      <c r="AN193" s="27"/>
      <c r="AO193" s="27"/>
      <c r="AP193" s="27"/>
      <c r="AY193" s="27"/>
      <c r="AZ193" s="27"/>
      <c r="BA193" s="27"/>
      <c r="BB193" s="27"/>
      <c r="BC193" s="28"/>
      <c r="BD193" s="29"/>
      <c r="BE193" s="29"/>
      <c r="BF193" s="27"/>
      <c r="BG193" s="27"/>
      <c r="BH193" s="27"/>
      <c r="BI193" s="27"/>
      <c r="BJ193" s="27"/>
      <c r="BK193" s="27"/>
      <c r="BL193" s="27"/>
      <c r="BM193" s="27"/>
    </row>
    <row r="194">
      <c r="I194" s="27"/>
      <c r="J194" s="27"/>
      <c r="K194" s="27"/>
      <c r="L194" s="27"/>
      <c r="M194" s="28"/>
      <c r="N194" s="29"/>
      <c r="O194" s="29"/>
      <c r="P194" s="29"/>
      <c r="Q194" s="27"/>
      <c r="R194" s="27"/>
      <c r="S194" s="27"/>
      <c r="T194" s="27"/>
      <c r="U194" s="27"/>
      <c r="V194" s="27"/>
      <c r="AE194" s="27"/>
      <c r="AF194" s="27"/>
      <c r="AG194" s="27"/>
      <c r="AH194" s="27"/>
      <c r="AI194" s="28"/>
      <c r="AJ194" s="29"/>
      <c r="AK194" s="29"/>
      <c r="AL194" s="27"/>
      <c r="AM194" s="27"/>
      <c r="AN194" s="27"/>
      <c r="AO194" s="27"/>
      <c r="AP194" s="27"/>
      <c r="AY194" s="27"/>
      <c r="AZ194" s="27"/>
      <c r="BA194" s="27"/>
      <c r="BB194" s="27"/>
      <c r="BC194" s="28"/>
      <c r="BD194" s="29"/>
      <c r="BE194" s="29"/>
      <c r="BF194" s="27"/>
      <c r="BG194" s="27"/>
      <c r="BH194" s="27"/>
      <c r="BI194" s="27"/>
      <c r="BJ194" s="27"/>
      <c r="BK194" s="27"/>
      <c r="BL194" s="27"/>
      <c r="BM194" s="27"/>
    </row>
    <row r="195">
      <c r="I195" s="27"/>
      <c r="J195" s="27"/>
      <c r="K195" s="27"/>
      <c r="L195" s="27"/>
      <c r="M195" s="28"/>
      <c r="N195" s="29"/>
      <c r="O195" s="29"/>
      <c r="P195" s="29"/>
      <c r="Q195" s="27"/>
      <c r="R195" s="27"/>
      <c r="S195" s="27"/>
      <c r="T195" s="27"/>
      <c r="U195" s="27"/>
      <c r="V195" s="27"/>
      <c r="AE195" s="27"/>
      <c r="AF195" s="27"/>
      <c r="AG195" s="27"/>
      <c r="AH195" s="27"/>
      <c r="AI195" s="28"/>
      <c r="AJ195" s="29"/>
      <c r="AK195" s="29"/>
      <c r="AL195" s="27"/>
      <c r="AM195" s="27"/>
      <c r="AN195" s="27"/>
      <c r="AO195" s="27"/>
      <c r="AP195" s="27"/>
      <c r="AY195" s="27"/>
      <c r="AZ195" s="27"/>
      <c r="BA195" s="27"/>
      <c r="BB195" s="27"/>
      <c r="BC195" s="28"/>
      <c r="BD195" s="29"/>
      <c r="BE195" s="29"/>
      <c r="BF195" s="27"/>
      <c r="BG195" s="27"/>
      <c r="BH195" s="27"/>
      <c r="BI195" s="27"/>
      <c r="BJ195" s="27"/>
      <c r="BK195" s="27"/>
      <c r="BL195" s="27"/>
      <c r="BM195" s="27"/>
    </row>
    <row r="196">
      <c r="I196" s="27"/>
      <c r="J196" s="27"/>
      <c r="K196" s="27"/>
      <c r="L196" s="27"/>
      <c r="M196" s="28"/>
      <c r="N196" s="29"/>
      <c r="O196" s="29"/>
      <c r="P196" s="29"/>
      <c r="Q196" s="27"/>
      <c r="R196" s="27"/>
      <c r="S196" s="27"/>
      <c r="T196" s="27"/>
      <c r="U196" s="27"/>
      <c r="V196" s="27"/>
      <c r="AE196" s="27"/>
      <c r="AF196" s="27"/>
      <c r="AG196" s="27"/>
      <c r="AH196" s="27"/>
      <c r="AI196" s="28"/>
      <c r="AJ196" s="29"/>
      <c r="AK196" s="29"/>
      <c r="AL196" s="27"/>
      <c r="AM196" s="27"/>
      <c r="AN196" s="27"/>
      <c r="AO196" s="27"/>
      <c r="AP196" s="27"/>
      <c r="AY196" s="27"/>
      <c r="AZ196" s="27"/>
      <c r="BA196" s="27"/>
      <c r="BB196" s="27"/>
      <c r="BC196" s="28"/>
      <c r="BD196" s="29"/>
      <c r="BE196" s="29"/>
      <c r="BF196" s="27"/>
      <c r="BG196" s="27"/>
      <c r="BH196" s="27"/>
      <c r="BI196" s="27"/>
      <c r="BJ196" s="27"/>
      <c r="BK196" s="27"/>
      <c r="BL196" s="27"/>
      <c r="BM196" s="27"/>
    </row>
    <row r="197">
      <c r="I197" s="27"/>
      <c r="J197" s="27"/>
      <c r="K197" s="27"/>
      <c r="L197" s="27"/>
      <c r="M197" s="28"/>
      <c r="N197" s="29"/>
      <c r="O197" s="29"/>
      <c r="P197" s="29"/>
      <c r="Q197" s="27"/>
      <c r="R197" s="27"/>
      <c r="S197" s="27"/>
      <c r="T197" s="27"/>
      <c r="U197" s="27"/>
      <c r="V197" s="27"/>
      <c r="AE197" s="27"/>
      <c r="AF197" s="27"/>
      <c r="AG197" s="27"/>
      <c r="AH197" s="27"/>
      <c r="AI197" s="28"/>
      <c r="AJ197" s="29"/>
      <c r="AK197" s="29"/>
      <c r="AL197" s="27"/>
      <c r="AM197" s="27"/>
      <c r="AN197" s="27"/>
      <c r="AO197" s="27"/>
      <c r="AP197" s="27"/>
      <c r="AY197" s="27"/>
      <c r="AZ197" s="27"/>
      <c r="BA197" s="27"/>
      <c r="BB197" s="27"/>
      <c r="BC197" s="28"/>
      <c r="BD197" s="29"/>
      <c r="BE197" s="29"/>
      <c r="BF197" s="27"/>
      <c r="BG197" s="27"/>
      <c r="BH197" s="27"/>
      <c r="BI197" s="27"/>
      <c r="BJ197" s="27"/>
      <c r="BK197" s="27"/>
      <c r="BL197" s="27"/>
      <c r="BM197" s="27"/>
    </row>
    <row r="198">
      <c r="I198" s="27"/>
      <c r="J198" s="27"/>
      <c r="K198" s="27"/>
      <c r="L198" s="27"/>
      <c r="M198" s="28"/>
      <c r="N198" s="29"/>
      <c r="O198" s="29"/>
      <c r="P198" s="29"/>
      <c r="Q198" s="27"/>
      <c r="R198" s="27"/>
      <c r="S198" s="27"/>
      <c r="T198" s="27"/>
      <c r="U198" s="27"/>
      <c r="V198" s="27"/>
      <c r="AE198" s="27"/>
      <c r="AF198" s="27"/>
      <c r="AG198" s="27"/>
      <c r="AH198" s="27"/>
      <c r="AI198" s="28"/>
      <c r="AJ198" s="29"/>
      <c r="AK198" s="29"/>
      <c r="AL198" s="27"/>
      <c r="AM198" s="27"/>
      <c r="AN198" s="27"/>
      <c r="AO198" s="27"/>
      <c r="AP198" s="27"/>
      <c r="AY198" s="27"/>
      <c r="AZ198" s="27"/>
      <c r="BA198" s="27"/>
      <c r="BB198" s="27"/>
      <c r="BC198" s="28"/>
      <c r="BD198" s="29"/>
      <c r="BE198" s="29"/>
      <c r="BF198" s="27"/>
      <c r="BG198" s="27"/>
      <c r="BH198" s="27"/>
      <c r="BI198" s="27"/>
      <c r="BJ198" s="27"/>
      <c r="BK198" s="27"/>
      <c r="BL198" s="27"/>
      <c r="BM198" s="27"/>
    </row>
    <row r="199">
      <c r="I199" s="27"/>
      <c r="J199" s="27"/>
      <c r="K199" s="27"/>
      <c r="L199" s="27"/>
      <c r="M199" s="28"/>
      <c r="N199" s="29"/>
      <c r="O199" s="29"/>
      <c r="P199" s="29"/>
      <c r="Q199" s="27"/>
      <c r="R199" s="27"/>
      <c r="S199" s="27"/>
      <c r="T199" s="27"/>
      <c r="U199" s="27"/>
      <c r="V199" s="27"/>
      <c r="AE199" s="27"/>
      <c r="AF199" s="27"/>
      <c r="AG199" s="27"/>
      <c r="AH199" s="27"/>
      <c r="AI199" s="28"/>
      <c r="AJ199" s="29"/>
      <c r="AK199" s="29"/>
      <c r="AL199" s="27"/>
      <c r="AM199" s="27"/>
      <c r="AN199" s="27"/>
      <c r="AO199" s="27"/>
      <c r="AP199" s="27"/>
      <c r="AY199" s="27"/>
      <c r="AZ199" s="27"/>
      <c r="BA199" s="27"/>
      <c r="BB199" s="27"/>
      <c r="BC199" s="28"/>
      <c r="BD199" s="29"/>
      <c r="BE199" s="29"/>
      <c r="BF199" s="27"/>
      <c r="BG199" s="27"/>
      <c r="BH199" s="27"/>
      <c r="BI199" s="27"/>
      <c r="BJ199" s="27"/>
      <c r="BK199" s="27"/>
      <c r="BL199" s="27"/>
      <c r="BM199" s="27"/>
    </row>
    <row r="200">
      <c r="I200" s="27"/>
      <c r="J200" s="27"/>
      <c r="K200" s="27"/>
      <c r="L200" s="27"/>
      <c r="M200" s="28"/>
      <c r="N200" s="29"/>
      <c r="O200" s="29"/>
      <c r="P200" s="29"/>
      <c r="Q200" s="27"/>
      <c r="R200" s="27"/>
      <c r="S200" s="27"/>
      <c r="T200" s="27"/>
      <c r="U200" s="27"/>
      <c r="V200" s="27"/>
      <c r="AE200" s="27"/>
      <c r="AF200" s="27"/>
      <c r="AG200" s="27"/>
      <c r="AH200" s="27"/>
      <c r="AI200" s="28"/>
      <c r="AJ200" s="29"/>
      <c r="AK200" s="29"/>
      <c r="AL200" s="27"/>
      <c r="AM200" s="27"/>
      <c r="AN200" s="27"/>
      <c r="AO200" s="27"/>
      <c r="AP200" s="27"/>
      <c r="AY200" s="27"/>
      <c r="AZ200" s="27"/>
      <c r="BA200" s="27"/>
      <c r="BB200" s="27"/>
      <c r="BC200" s="28"/>
      <c r="BD200" s="29"/>
      <c r="BE200" s="29"/>
      <c r="BF200" s="27"/>
      <c r="BG200" s="27"/>
      <c r="BH200" s="27"/>
      <c r="BI200" s="27"/>
      <c r="BJ200" s="27"/>
      <c r="BK200" s="27"/>
      <c r="BL200" s="27"/>
      <c r="BM200" s="27"/>
    </row>
    <row r="201">
      <c r="I201" s="27"/>
      <c r="J201" s="27"/>
      <c r="K201" s="27"/>
      <c r="L201" s="27"/>
      <c r="M201" s="28"/>
      <c r="N201" s="29"/>
      <c r="O201" s="29"/>
      <c r="P201" s="29"/>
      <c r="Q201" s="27"/>
      <c r="R201" s="27"/>
      <c r="S201" s="27"/>
      <c r="T201" s="27"/>
      <c r="U201" s="27"/>
      <c r="V201" s="27"/>
      <c r="AE201" s="27"/>
      <c r="AF201" s="27"/>
      <c r="AG201" s="27"/>
      <c r="AH201" s="27"/>
      <c r="AI201" s="28"/>
      <c r="AJ201" s="29"/>
      <c r="AK201" s="29"/>
      <c r="AL201" s="27"/>
      <c r="AM201" s="27"/>
      <c r="AN201" s="27"/>
      <c r="AO201" s="27"/>
      <c r="AP201" s="27"/>
      <c r="AY201" s="27"/>
      <c r="AZ201" s="27"/>
      <c r="BA201" s="27"/>
      <c r="BB201" s="27"/>
      <c r="BC201" s="28"/>
      <c r="BD201" s="29"/>
      <c r="BE201" s="29"/>
      <c r="BF201" s="27"/>
      <c r="BG201" s="27"/>
      <c r="BH201" s="27"/>
      <c r="BI201" s="27"/>
      <c r="BJ201" s="27"/>
      <c r="BK201" s="27"/>
      <c r="BL201" s="27"/>
      <c r="BM201" s="27"/>
    </row>
    <row r="202">
      <c r="I202" s="27"/>
      <c r="J202" s="27"/>
      <c r="K202" s="27"/>
      <c r="L202" s="27"/>
      <c r="M202" s="28"/>
      <c r="N202" s="29"/>
      <c r="O202" s="29"/>
      <c r="P202" s="29"/>
      <c r="Q202" s="27"/>
      <c r="R202" s="27"/>
      <c r="S202" s="27"/>
      <c r="T202" s="27"/>
      <c r="U202" s="27"/>
      <c r="V202" s="27"/>
      <c r="AE202" s="27"/>
      <c r="AF202" s="27"/>
      <c r="AG202" s="27"/>
      <c r="AH202" s="27"/>
      <c r="AI202" s="28"/>
      <c r="AJ202" s="29"/>
      <c r="AK202" s="29"/>
      <c r="AL202" s="27"/>
      <c r="AM202" s="27"/>
      <c r="AN202" s="27"/>
      <c r="AO202" s="27"/>
      <c r="AP202" s="27"/>
      <c r="AY202" s="27"/>
      <c r="AZ202" s="27"/>
      <c r="BA202" s="27"/>
      <c r="BB202" s="27"/>
      <c r="BC202" s="28"/>
      <c r="BD202" s="29"/>
      <c r="BE202" s="29"/>
      <c r="BF202" s="27"/>
      <c r="BG202" s="27"/>
      <c r="BH202" s="27"/>
      <c r="BI202" s="27"/>
      <c r="BJ202" s="27"/>
      <c r="BK202" s="27"/>
      <c r="BL202" s="27"/>
      <c r="BM202" s="27"/>
    </row>
    <row r="203">
      <c r="I203" s="27"/>
      <c r="J203" s="27"/>
      <c r="K203" s="27"/>
      <c r="L203" s="27"/>
      <c r="M203" s="28"/>
      <c r="N203" s="29"/>
      <c r="O203" s="29"/>
      <c r="P203" s="29"/>
      <c r="Q203" s="27"/>
      <c r="R203" s="27"/>
      <c r="S203" s="27"/>
      <c r="T203" s="27"/>
      <c r="U203" s="27"/>
      <c r="V203" s="27"/>
      <c r="AE203" s="27"/>
      <c r="AF203" s="27"/>
      <c r="AG203" s="27"/>
      <c r="AH203" s="27"/>
      <c r="AI203" s="28"/>
      <c r="AJ203" s="29"/>
      <c r="AK203" s="29"/>
      <c r="AL203" s="27"/>
      <c r="AM203" s="27"/>
      <c r="AN203" s="27"/>
      <c r="AO203" s="27"/>
      <c r="AP203" s="27"/>
      <c r="AY203" s="27"/>
      <c r="AZ203" s="27"/>
      <c r="BA203" s="27"/>
      <c r="BB203" s="27"/>
      <c r="BC203" s="28"/>
      <c r="BD203" s="29"/>
      <c r="BE203" s="29"/>
      <c r="BF203" s="27"/>
      <c r="BG203" s="27"/>
      <c r="BH203" s="27"/>
      <c r="BI203" s="27"/>
      <c r="BJ203" s="27"/>
      <c r="BK203" s="27"/>
      <c r="BL203" s="27"/>
      <c r="BM203" s="27"/>
    </row>
    <row r="204">
      <c r="I204" s="27"/>
      <c r="J204" s="27"/>
      <c r="K204" s="27"/>
      <c r="L204" s="27"/>
      <c r="M204" s="28"/>
      <c r="N204" s="29"/>
      <c r="O204" s="29"/>
      <c r="P204" s="29"/>
      <c r="Q204" s="27"/>
      <c r="R204" s="27"/>
      <c r="S204" s="27"/>
      <c r="T204" s="27"/>
      <c r="U204" s="27"/>
      <c r="V204" s="27"/>
      <c r="AE204" s="27"/>
      <c r="AF204" s="27"/>
      <c r="AG204" s="27"/>
      <c r="AH204" s="27"/>
      <c r="AI204" s="28"/>
      <c r="AJ204" s="29"/>
      <c r="AK204" s="29"/>
      <c r="AL204" s="27"/>
      <c r="AM204" s="27"/>
      <c r="AN204" s="27"/>
      <c r="AO204" s="27"/>
      <c r="AP204" s="27"/>
      <c r="AY204" s="27"/>
      <c r="AZ204" s="27"/>
      <c r="BA204" s="27"/>
      <c r="BB204" s="27"/>
      <c r="BC204" s="28"/>
      <c r="BD204" s="29"/>
      <c r="BE204" s="29"/>
      <c r="BF204" s="27"/>
      <c r="BG204" s="27"/>
      <c r="BH204" s="27"/>
      <c r="BI204" s="27"/>
      <c r="BJ204" s="27"/>
      <c r="BK204" s="27"/>
      <c r="BL204" s="27"/>
      <c r="BM204" s="27"/>
    </row>
    <row r="205">
      <c r="I205" s="27"/>
      <c r="J205" s="27"/>
      <c r="K205" s="27"/>
      <c r="L205" s="27"/>
      <c r="M205" s="28"/>
      <c r="N205" s="29"/>
      <c r="O205" s="29"/>
      <c r="P205" s="29"/>
      <c r="Q205" s="27"/>
      <c r="R205" s="27"/>
      <c r="S205" s="27"/>
      <c r="T205" s="27"/>
      <c r="U205" s="27"/>
      <c r="V205" s="27"/>
      <c r="AE205" s="27"/>
      <c r="AF205" s="27"/>
      <c r="AG205" s="27"/>
      <c r="AH205" s="27"/>
      <c r="AI205" s="28"/>
      <c r="AJ205" s="29"/>
      <c r="AK205" s="29"/>
      <c r="AL205" s="27"/>
      <c r="AM205" s="27"/>
      <c r="AN205" s="27"/>
      <c r="AO205" s="27"/>
      <c r="AP205" s="27"/>
      <c r="AY205" s="27"/>
      <c r="AZ205" s="27"/>
      <c r="BA205" s="27"/>
      <c r="BB205" s="27"/>
      <c r="BC205" s="28"/>
      <c r="BD205" s="29"/>
      <c r="BE205" s="29"/>
      <c r="BF205" s="27"/>
      <c r="BG205" s="27"/>
      <c r="BH205" s="27"/>
      <c r="BI205" s="27"/>
      <c r="BJ205" s="27"/>
      <c r="BK205" s="27"/>
      <c r="BL205" s="27"/>
      <c r="BM205" s="27"/>
    </row>
    <row r="206">
      <c r="I206" s="27"/>
      <c r="J206" s="27"/>
      <c r="K206" s="27"/>
      <c r="L206" s="27"/>
      <c r="M206" s="28"/>
      <c r="N206" s="29"/>
      <c r="O206" s="29"/>
      <c r="P206" s="29"/>
      <c r="Q206" s="27"/>
      <c r="R206" s="27"/>
      <c r="S206" s="27"/>
      <c r="T206" s="27"/>
      <c r="U206" s="27"/>
      <c r="V206" s="27"/>
      <c r="AE206" s="27"/>
      <c r="AF206" s="27"/>
      <c r="AG206" s="27"/>
      <c r="AH206" s="27"/>
      <c r="AI206" s="28"/>
      <c r="AJ206" s="29"/>
      <c r="AK206" s="29"/>
      <c r="AL206" s="27"/>
      <c r="AM206" s="27"/>
      <c r="AN206" s="27"/>
      <c r="AO206" s="27"/>
      <c r="AP206" s="27"/>
      <c r="AY206" s="27"/>
      <c r="AZ206" s="27"/>
      <c r="BA206" s="27"/>
      <c r="BB206" s="27"/>
      <c r="BC206" s="28"/>
      <c r="BD206" s="29"/>
      <c r="BE206" s="29"/>
      <c r="BF206" s="27"/>
      <c r="BG206" s="27"/>
      <c r="BH206" s="27"/>
      <c r="BI206" s="27"/>
      <c r="BJ206" s="27"/>
      <c r="BK206" s="27"/>
      <c r="BL206" s="27"/>
      <c r="BM206" s="27"/>
    </row>
    <row r="207">
      <c r="I207" s="27"/>
      <c r="J207" s="27"/>
      <c r="K207" s="27"/>
      <c r="L207" s="27"/>
      <c r="M207" s="28"/>
      <c r="N207" s="29"/>
      <c r="O207" s="29"/>
      <c r="P207" s="29"/>
      <c r="Q207" s="27"/>
      <c r="R207" s="27"/>
      <c r="S207" s="27"/>
      <c r="T207" s="27"/>
      <c r="U207" s="27"/>
      <c r="V207" s="27"/>
      <c r="AE207" s="27"/>
      <c r="AF207" s="27"/>
      <c r="AG207" s="27"/>
      <c r="AH207" s="27"/>
      <c r="AI207" s="28"/>
      <c r="AJ207" s="29"/>
      <c r="AK207" s="29"/>
      <c r="AL207" s="27"/>
      <c r="AM207" s="27"/>
      <c r="AN207" s="27"/>
      <c r="AO207" s="27"/>
      <c r="AP207" s="27"/>
      <c r="AY207" s="27"/>
      <c r="AZ207" s="27"/>
      <c r="BA207" s="27"/>
      <c r="BB207" s="27"/>
      <c r="BC207" s="28"/>
      <c r="BD207" s="29"/>
      <c r="BE207" s="29"/>
      <c r="BF207" s="27"/>
      <c r="BG207" s="27"/>
      <c r="BH207" s="27"/>
      <c r="BI207" s="27"/>
      <c r="BJ207" s="27"/>
      <c r="BK207" s="27"/>
      <c r="BL207" s="27"/>
      <c r="BM207" s="27"/>
    </row>
    <row r="208">
      <c r="I208" s="27"/>
      <c r="J208" s="27"/>
      <c r="K208" s="27"/>
      <c r="L208" s="27"/>
      <c r="M208" s="28"/>
      <c r="N208" s="29"/>
      <c r="O208" s="29"/>
      <c r="P208" s="29"/>
      <c r="Q208" s="27"/>
      <c r="R208" s="27"/>
      <c r="S208" s="27"/>
      <c r="T208" s="27"/>
      <c r="U208" s="27"/>
      <c r="V208" s="27"/>
      <c r="AE208" s="27"/>
      <c r="AF208" s="27"/>
      <c r="AG208" s="27"/>
      <c r="AH208" s="27"/>
      <c r="AI208" s="28"/>
      <c r="AJ208" s="29"/>
      <c r="AK208" s="29"/>
      <c r="AL208" s="27"/>
      <c r="AM208" s="27"/>
      <c r="AN208" s="27"/>
      <c r="AO208" s="27"/>
      <c r="AP208" s="27"/>
      <c r="AY208" s="27"/>
      <c r="AZ208" s="27"/>
      <c r="BA208" s="27"/>
      <c r="BB208" s="27"/>
      <c r="BC208" s="28"/>
      <c r="BD208" s="29"/>
      <c r="BE208" s="29"/>
      <c r="BF208" s="27"/>
      <c r="BG208" s="27"/>
      <c r="BH208" s="27"/>
      <c r="BI208" s="27"/>
      <c r="BJ208" s="27"/>
      <c r="BK208" s="27"/>
      <c r="BL208" s="27"/>
      <c r="BM208" s="27"/>
    </row>
    <row r="209">
      <c r="I209" s="27"/>
      <c r="J209" s="27"/>
      <c r="K209" s="27"/>
      <c r="L209" s="27"/>
      <c r="M209" s="28"/>
      <c r="N209" s="29"/>
      <c r="O209" s="29"/>
      <c r="P209" s="29"/>
      <c r="Q209" s="27"/>
      <c r="R209" s="27"/>
      <c r="S209" s="27"/>
      <c r="T209" s="27"/>
      <c r="U209" s="27"/>
      <c r="V209" s="27"/>
      <c r="AE209" s="27"/>
      <c r="AF209" s="27"/>
      <c r="AG209" s="27"/>
      <c r="AH209" s="27"/>
      <c r="AI209" s="28"/>
      <c r="AJ209" s="29"/>
      <c r="AK209" s="29"/>
      <c r="AL209" s="27"/>
      <c r="AM209" s="27"/>
      <c r="AN209" s="27"/>
      <c r="AO209" s="27"/>
      <c r="AP209" s="27"/>
      <c r="AY209" s="27"/>
      <c r="AZ209" s="27"/>
      <c r="BA209" s="27"/>
      <c r="BB209" s="27"/>
      <c r="BC209" s="28"/>
      <c r="BD209" s="29"/>
      <c r="BE209" s="29"/>
      <c r="BF209" s="27"/>
      <c r="BG209" s="27"/>
      <c r="BH209" s="27"/>
      <c r="BI209" s="27"/>
      <c r="BJ209" s="27"/>
      <c r="BK209" s="27"/>
      <c r="BL209" s="27"/>
      <c r="BM209" s="27"/>
    </row>
    <row r="210">
      <c r="I210" s="27"/>
      <c r="J210" s="27"/>
      <c r="K210" s="27"/>
      <c r="L210" s="27"/>
      <c r="M210" s="28"/>
      <c r="N210" s="29"/>
      <c r="O210" s="29"/>
      <c r="P210" s="29"/>
      <c r="Q210" s="27"/>
      <c r="R210" s="27"/>
      <c r="S210" s="27"/>
      <c r="T210" s="27"/>
      <c r="U210" s="27"/>
      <c r="V210" s="27"/>
      <c r="AE210" s="27"/>
      <c r="AF210" s="27"/>
      <c r="AG210" s="27"/>
      <c r="AH210" s="27"/>
      <c r="AI210" s="28"/>
      <c r="AJ210" s="29"/>
      <c r="AK210" s="29"/>
      <c r="AL210" s="27"/>
      <c r="AM210" s="27"/>
      <c r="AN210" s="27"/>
      <c r="AO210" s="27"/>
      <c r="AP210" s="27"/>
      <c r="AY210" s="27"/>
      <c r="AZ210" s="27"/>
      <c r="BA210" s="27"/>
      <c r="BB210" s="27"/>
      <c r="BC210" s="28"/>
      <c r="BD210" s="29"/>
      <c r="BE210" s="29"/>
      <c r="BF210" s="27"/>
      <c r="BG210" s="27"/>
      <c r="BH210" s="27"/>
      <c r="BI210" s="27"/>
      <c r="BJ210" s="27"/>
      <c r="BK210" s="27"/>
      <c r="BL210" s="27"/>
      <c r="BM210" s="27"/>
    </row>
    <row r="211">
      <c r="I211" s="27"/>
      <c r="J211" s="27"/>
      <c r="K211" s="27"/>
      <c r="L211" s="27"/>
      <c r="M211" s="28"/>
      <c r="N211" s="29"/>
      <c r="O211" s="29"/>
      <c r="P211" s="29"/>
      <c r="Q211" s="27"/>
      <c r="R211" s="27"/>
      <c r="S211" s="27"/>
      <c r="T211" s="27"/>
      <c r="U211" s="27"/>
      <c r="V211" s="27"/>
      <c r="AE211" s="27"/>
      <c r="AF211" s="27"/>
      <c r="AG211" s="27"/>
      <c r="AH211" s="27"/>
      <c r="AI211" s="28"/>
      <c r="AJ211" s="29"/>
      <c r="AK211" s="29"/>
      <c r="AL211" s="27"/>
      <c r="AM211" s="27"/>
      <c r="AN211" s="27"/>
      <c r="AO211" s="27"/>
      <c r="AP211" s="27"/>
      <c r="AY211" s="27"/>
      <c r="AZ211" s="27"/>
      <c r="BA211" s="27"/>
      <c r="BB211" s="27"/>
      <c r="BC211" s="28"/>
      <c r="BD211" s="29"/>
      <c r="BE211" s="29"/>
      <c r="BF211" s="27"/>
      <c r="BG211" s="27"/>
      <c r="BH211" s="27"/>
      <c r="BI211" s="27"/>
      <c r="BJ211" s="27"/>
      <c r="BK211" s="27"/>
      <c r="BL211" s="27"/>
      <c r="BM211" s="27"/>
    </row>
    <row r="212">
      <c r="I212" s="27"/>
      <c r="J212" s="27"/>
      <c r="K212" s="27"/>
      <c r="L212" s="27"/>
      <c r="M212" s="28"/>
      <c r="N212" s="29"/>
      <c r="O212" s="29"/>
      <c r="P212" s="29"/>
      <c r="Q212" s="27"/>
      <c r="R212" s="27"/>
      <c r="S212" s="27"/>
      <c r="T212" s="27"/>
      <c r="U212" s="27"/>
      <c r="V212" s="27"/>
      <c r="AE212" s="27"/>
      <c r="AF212" s="27"/>
      <c r="AG212" s="27"/>
      <c r="AH212" s="27"/>
      <c r="AI212" s="28"/>
      <c r="AJ212" s="29"/>
      <c r="AK212" s="29"/>
      <c r="AL212" s="27"/>
      <c r="AM212" s="27"/>
      <c r="AN212" s="27"/>
      <c r="AO212" s="27"/>
      <c r="AP212" s="27"/>
      <c r="AY212" s="27"/>
      <c r="AZ212" s="27"/>
      <c r="BA212" s="27"/>
      <c r="BB212" s="27"/>
      <c r="BC212" s="28"/>
      <c r="BD212" s="29"/>
      <c r="BE212" s="29"/>
      <c r="BF212" s="27"/>
      <c r="BG212" s="27"/>
      <c r="BH212" s="27"/>
      <c r="BI212" s="27"/>
      <c r="BJ212" s="27"/>
      <c r="BK212" s="27"/>
      <c r="BL212" s="27"/>
      <c r="BM212" s="27"/>
    </row>
    <row r="213">
      <c r="I213" s="27"/>
      <c r="J213" s="27"/>
      <c r="K213" s="27"/>
      <c r="L213" s="27"/>
      <c r="M213" s="28"/>
      <c r="N213" s="29"/>
      <c r="O213" s="29"/>
      <c r="P213" s="29"/>
      <c r="Q213" s="27"/>
      <c r="R213" s="27"/>
      <c r="S213" s="27"/>
      <c r="T213" s="27"/>
      <c r="U213" s="27"/>
      <c r="V213" s="27"/>
      <c r="AE213" s="27"/>
      <c r="AF213" s="27"/>
      <c r="AG213" s="27"/>
      <c r="AH213" s="27"/>
      <c r="AI213" s="28"/>
      <c r="AJ213" s="29"/>
      <c r="AK213" s="29"/>
      <c r="AL213" s="27"/>
      <c r="AM213" s="27"/>
      <c r="AN213" s="27"/>
      <c r="AO213" s="27"/>
      <c r="AP213" s="27"/>
      <c r="AY213" s="27"/>
      <c r="AZ213" s="27"/>
      <c r="BA213" s="27"/>
      <c r="BB213" s="27"/>
      <c r="BC213" s="28"/>
      <c r="BD213" s="29"/>
      <c r="BE213" s="29"/>
      <c r="BF213" s="27"/>
      <c r="BG213" s="27"/>
      <c r="BH213" s="27"/>
      <c r="BI213" s="27"/>
      <c r="BJ213" s="27"/>
      <c r="BK213" s="27"/>
      <c r="BL213" s="27"/>
      <c r="BM213" s="27"/>
    </row>
    <row r="214">
      <c r="I214" s="27"/>
      <c r="J214" s="27"/>
      <c r="K214" s="27"/>
      <c r="L214" s="27"/>
      <c r="M214" s="28"/>
      <c r="N214" s="29"/>
      <c r="O214" s="29"/>
      <c r="P214" s="29"/>
      <c r="Q214" s="27"/>
      <c r="R214" s="27"/>
      <c r="S214" s="27"/>
      <c r="T214" s="27"/>
      <c r="U214" s="27"/>
      <c r="V214" s="27"/>
      <c r="AE214" s="27"/>
      <c r="AF214" s="27"/>
      <c r="AG214" s="27"/>
      <c r="AH214" s="27"/>
      <c r="AI214" s="28"/>
      <c r="AJ214" s="29"/>
      <c r="AK214" s="29"/>
      <c r="AL214" s="27"/>
      <c r="AM214" s="27"/>
      <c r="AN214" s="27"/>
      <c r="AO214" s="27"/>
      <c r="AP214" s="27"/>
      <c r="AY214" s="27"/>
      <c r="AZ214" s="27"/>
      <c r="BA214" s="27"/>
      <c r="BB214" s="27"/>
      <c r="BC214" s="28"/>
      <c r="BD214" s="29"/>
      <c r="BE214" s="29"/>
      <c r="BF214" s="27"/>
      <c r="BG214" s="27"/>
      <c r="BH214" s="27"/>
      <c r="BI214" s="27"/>
      <c r="BJ214" s="27"/>
      <c r="BK214" s="27"/>
      <c r="BL214" s="27"/>
      <c r="BM214" s="27"/>
    </row>
    <row r="215">
      <c r="I215" s="27"/>
      <c r="J215" s="27"/>
      <c r="K215" s="27"/>
      <c r="L215" s="27"/>
      <c r="M215" s="28"/>
      <c r="N215" s="29"/>
      <c r="O215" s="29"/>
      <c r="P215" s="29"/>
      <c r="Q215" s="27"/>
      <c r="R215" s="27"/>
      <c r="S215" s="27"/>
      <c r="T215" s="27"/>
      <c r="U215" s="27"/>
      <c r="V215" s="27"/>
      <c r="AE215" s="27"/>
      <c r="AF215" s="27"/>
      <c r="AG215" s="27"/>
      <c r="AH215" s="27"/>
      <c r="AI215" s="28"/>
      <c r="AJ215" s="29"/>
      <c r="AK215" s="29"/>
      <c r="AL215" s="27"/>
      <c r="AM215" s="27"/>
      <c r="AN215" s="27"/>
      <c r="AO215" s="27"/>
      <c r="AP215" s="27"/>
      <c r="AY215" s="27"/>
      <c r="AZ215" s="27"/>
      <c r="BA215" s="27"/>
      <c r="BB215" s="27"/>
      <c r="BC215" s="28"/>
      <c r="BD215" s="29"/>
      <c r="BE215" s="29"/>
      <c r="BF215" s="27"/>
      <c r="BG215" s="27"/>
      <c r="BH215" s="27"/>
      <c r="BI215" s="27"/>
      <c r="BJ215" s="27"/>
      <c r="BK215" s="27"/>
      <c r="BL215" s="27"/>
      <c r="BM215" s="27"/>
    </row>
    <row r="216">
      <c r="I216" s="27"/>
      <c r="J216" s="27"/>
      <c r="K216" s="27"/>
      <c r="L216" s="27"/>
      <c r="M216" s="28"/>
      <c r="N216" s="29"/>
      <c r="O216" s="29"/>
      <c r="P216" s="29"/>
      <c r="Q216" s="27"/>
      <c r="R216" s="27"/>
      <c r="S216" s="27"/>
      <c r="T216" s="27"/>
      <c r="U216" s="27"/>
      <c r="V216" s="27"/>
      <c r="AE216" s="27"/>
      <c r="AF216" s="27"/>
      <c r="AG216" s="27"/>
      <c r="AH216" s="27"/>
      <c r="AI216" s="28"/>
      <c r="AJ216" s="29"/>
      <c r="AK216" s="29"/>
      <c r="AL216" s="27"/>
      <c r="AM216" s="27"/>
      <c r="AN216" s="27"/>
      <c r="AO216" s="27"/>
      <c r="AP216" s="27"/>
      <c r="AY216" s="27"/>
      <c r="AZ216" s="27"/>
      <c r="BA216" s="27"/>
      <c r="BB216" s="27"/>
      <c r="BC216" s="28"/>
      <c r="BD216" s="29"/>
      <c r="BE216" s="29"/>
      <c r="BF216" s="27"/>
      <c r="BG216" s="27"/>
      <c r="BH216" s="27"/>
      <c r="BI216" s="27"/>
      <c r="BJ216" s="27"/>
      <c r="BK216" s="27"/>
      <c r="BL216" s="27"/>
      <c r="BM216" s="27"/>
    </row>
    <row r="217">
      <c r="I217" s="27"/>
      <c r="J217" s="27"/>
      <c r="K217" s="27"/>
      <c r="L217" s="27"/>
      <c r="M217" s="28"/>
      <c r="N217" s="29"/>
      <c r="O217" s="29"/>
      <c r="P217" s="29"/>
      <c r="Q217" s="27"/>
      <c r="R217" s="27"/>
      <c r="S217" s="27"/>
      <c r="T217" s="27"/>
      <c r="U217" s="27"/>
      <c r="V217" s="27"/>
      <c r="AE217" s="27"/>
      <c r="AF217" s="27"/>
      <c r="AG217" s="27"/>
      <c r="AH217" s="27"/>
      <c r="AI217" s="28"/>
      <c r="AJ217" s="29"/>
      <c r="AK217" s="29"/>
      <c r="AL217" s="27"/>
      <c r="AM217" s="27"/>
      <c r="AN217" s="27"/>
      <c r="AO217" s="27"/>
      <c r="AP217" s="27"/>
      <c r="AY217" s="27"/>
      <c r="AZ217" s="27"/>
      <c r="BA217" s="27"/>
      <c r="BB217" s="27"/>
      <c r="BC217" s="28"/>
      <c r="BD217" s="29"/>
      <c r="BE217" s="29"/>
      <c r="BF217" s="27"/>
      <c r="BG217" s="27"/>
      <c r="BH217" s="27"/>
      <c r="BI217" s="27"/>
      <c r="BJ217" s="27"/>
      <c r="BK217" s="27"/>
      <c r="BL217" s="27"/>
      <c r="BM217" s="27"/>
    </row>
    <row r="218">
      <c r="I218" s="27"/>
      <c r="J218" s="27"/>
      <c r="K218" s="27"/>
      <c r="L218" s="27"/>
      <c r="M218" s="28"/>
      <c r="N218" s="29"/>
      <c r="O218" s="29"/>
      <c r="P218" s="29"/>
      <c r="Q218" s="27"/>
      <c r="R218" s="27"/>
      <c r="S218" s="27"/>
      <c r="T218" s="27"/>
      <c r="U218" s="27"/>
      <c r="V218" s="27"/>
      <c r="AE218" s="27"/>
      <c r="AF218" s="27"/>
      <c r="AG218" s="27"/>
      <c r="AH218" s="27"/>
      <c r="AI218" s="28"/>
      <c r="AJ218" s="29"/>
      <c r="AK218" s="29"/>
      <c r="AL218" s="27"/>
      <c r="AM218" s="27"/>
      <c r="AN218" s="27"/>
      <c r="AO218" s="27"/>
      <c r="AP218" s="27"/>
      <c r="AY218" s="27"/>
      <c r="AZ218" s="27"/>
      <c r="BA218" s="27"/>
      <c r="BB218" s="27"/>
      <c r="BC218" s="28"/>
      <c r="BD218" s="29"/>
      <c r="BE218" s="29"/>
      <c r="BF218" s="27"/>
      <c r="BG218" s="27"/>
      <c r="BH218" s="27"/>
      <c r="BI218" s="27"/>
      <c r="BJ218" s="27"/>
      <c r="BK218" s="27"/>
      <c r="BL218" s="27"/>
      <c r="BM218" s="27"/>
    </row>
    <row r="219">
      <c r="I219" s="27"/>
      <c r="J219" s="27"/>
      <c r="K219" s="27"/>
      <c r="L219" s="27"/>
      <c r="M219" s="28"/>
      <c r="N219" s="29"/>
      <c r="O219" s="29"/>
      <c r="P219" s="29"/>
      <c r="Q219" s="27"/>
      <c r="R219" s="27"/>
      <c r="S219" s="27"/>
      <c r="T219" s="27"/>
      <c r="U219" s="27"/>
      <c r="V219" s="27"/>
      <c r="AE219" s="27"/>
      <c r="AF219" s="27"/>
      <c r="AG219" s="27"/>
      <c r="AH219" s="27"/>
      <c r="AI219" s="28"/>
      <c r="AJ219" s="29"/>
      <c r="AK219" s="29"/>
      <c r="AL219" s="27"/>
      <c r="AM219" s="27"/>
      <c r="AN219" s="27"/>
      <c r="AO219" s="27"/>
      <c r="AP219" s="27"/>
      <c r="AY219" s="27"/>
      <c r="AZ219" s="27"/>
      <c r="BA219" s="27"/>
      <c r="BB219" s="27"/>
      <c r="BC219" s="28"/>
      <c r="BD219" s="29"/>
      <c r="BE219" s="29"/>
      <c r="BF219" s="27"/>
      <c r="BG219" s="27"/>
      <c r="BH219" s="27"/>
      <c r="BI219" s="27"/>
      <c r="BJ219" s="27"/>
      <c r="BK219" s="27"/>
      <c r="BL219" s="27"/>
      <c r="BM219" s="27"/>
    </row>
    <row r="220">
      <c r="I220" s="27"/>
      <c r="J220" s="27"/>
      <c r="K220" s="27"/>
      <c r="L220" s="27"/>
      <c r="M220" s="28"/>
      <c r="N220" s="29"/>
      <c r="O220" s="29"/>
      <c r="P220" s="29"/>
      <c r="Q220" s="27"/>
      <c r="R220" s="27"/>
      <c r="S220" s="27"/>
      <c r="T220" s="27"/>
      <c r="U220" s="27"/>
      <c r="V220" s="27"/>
      <c r="AE220" s="27"/>
      <c r="AF220" s="27"/>
      <c r="AG220" s="27"/>
      <c r="AH220" s="27"/>
      <c r="AI220" s="28"/>
      <c r="AJ220" s="29"/>
      <c r="AK220" s="29"/>
      <c r="AL220" s="27"/>
      <c r="AM220" s="27"/>
      <c r="AN220" s="27"/>
      <c r="AO220" s="27"/>
      <c r="AP220" s="27"/>
      <c r="AY220" s="27"/>
      <c r="AZ220" s="27"/>
      <c r="BA220" s="27"/>
      <c r="BB220" s="27"/>
      <c r="BC220" s="28"/>
      <c r="BD220" s="29"/>
      <c r="BE220" s="29"/>
      <c r="BF220" s="27"/>
      <c r="BG220" s="27"/>
      <c r="BH220" s="27"/>
      <c r="BI220" s="27"/>
      <c r="BJ220" s="27"/>
      <c r="BK220" s="27"/>
      <c r="BL220" s="27"/>
      <c r="BM220" s="27"/>
    </row>
    <row r="221">
      <c r="I221" s="27"/>
      <c r="J221" s="27"/>
      <c r="K221" s="27"/>
      <c r="L221" s="27"/>
      <c r="M221" s="28"/>
      <c r="N221" s="29"/>
      <c r="O221" s="29"/>
      <c r="P221" s="29"/>
      <c r="Q221" s="27"/>
      <c r="R221" s="27"/>
      <c r="S221" s="27"/>
      <c r="T221" s="27"/>
      <c r="U221" s="27"/>
      <c r="V221" s="27"/>
      <c r="AE221" s="27"/>
      <c r="AF221" s="27"/>
      <c r="AG221" s="27"/>
      <c r="AH221" s="27"/>
      <c r="AI221" s="28"/>
      <c r="AJ221" s="29"/>
      <c r="AK221" s="29"/>
      <c r="AL221" s="27"/>
      <c r="AM221" s="27"/>
      <c r="AN221" s="27"/>
      <c r="AO221" s="27"/>
      <c r="AP221" s="27"/>
      <c r="AY221" s="27"/>
      <c r="AZ221" s="27"/>
      <c r="BA221" s="27"/>
      <c r="BB221" s="27"/>
      <c r="BC221" s="28"/>
      <c r="BD221" s="29"/>
      <c r="BE221" s="29"/>
      <c r="BF221" s="27"/>
      <c r="BG221" s="27"/>
      <c r="BH221" s="27"/>
      <c r="BI221" s="27"/>
      <c r="BJ221" s="27"/>
      <c r="BK221" s="27"/>
      <c r="BL221" s="27"/>
      <c r="BM221" s="27"/>
    </row>
    <row r="222">
      <c r="I222" s="27"/>
      <c r="J222" s="27"/>
      <c r="K222" s="27"/>
      <c r="L222" s="27"/>
      <c r="M222" s="28"/>
      <c r="N222" s="29"/>
      <c r="O222" s="29"/>
      <c r="P222" s="29"/>
      <c r="Q222" s="27"/>
      <c r="R222" s="27"/>
      <c r="S222" s="27"/>
      <c r="T222" s="27"/>
      <c r="U222" s="27"/>
      <c r="V222" s="27"/>
      <c r="AE222" s="27"/>
      <c r="AF222" s="27"/>
      <c r="AG222" s="27"/>
      <c r="AH222" s="27"/>
      <c r="AI222" s="28"/>
      <c r="AJ222" s="29"/>
      <c r="AK222" s="29"/>
      <c r="AL222" s="27"/>
      <c r="AM222" s="27"/>
      <c r="AN222" s="27"/>
      <c r="AO222" s="27"/>
      <c r="AP222" s="27"/>
      <c r="AY222" s="27"/>
      <c r="AZ222" s="27"/>
      <c r="BA222" s="27"/>
      <c r="BB222" s="27"/>
      <c r="BC222" s="28"/>
      <c r="BD222" s="29"/>
      <c r="BE222" s="29"/>
      <c r="BF222" s="27"/>
      <c r="BG222" s="27"/>
      <c r="BH222" s="27"/>
      <c r="BI222" s="27"/>
      <c r="BJ222" s="27"/>
      <c r="BK222" s="27"/>
      <c r="BL222" s="27"/>
      <c r="BM222" s="27"/>
    </row>
    <row r="223">
      <c r="I223" s="27"/>
      <c r="J223" s="27"/>
      <c r="K223" s="27"/>
      <c r="L223" s="27"/>
      <c r="M223" s="28"/>
      <c r="N223" s="29"/>
      <c r="O223" s="29"/>
      <c r="P223" s="29"/>
      <c r="Q223" s="27"/>
      <c r="R223" s="27"/>
      <c r="S223" s="27"/>
      <c r="T223" s="27"/>
      <c r="U223" s="27"/>
      <c r="V223" s="27"/>
      <c r="AE223" s="27"/>
      <c r="AF223" s="27"/>
      <c r="AG223" s="27"/>
      <c r="AH223" s="27"/>
      <c r="AI223" s="28"/>
      <c r="AJ223" s="29"/>
      <c r="AK223" s="29"/>
      <c r="AL223" s="27"/>
      <c r="AM223" s="27"/>
      <c r="AN223" s="27"/>
      <c r="AO223" s="27"/>
      <c r="AP223" s="27"/>
      <c r="AY223" s="27"/>
      <c r="AZ223" s="27"/>
      <c r="BA223" s="27"/>
      <c r="BB223" s="27"/>
      <c r="BC223" s="28"/>
      <c r="BD223" s="29"/>
      <c r="BE223" s="29"/>
      <c r="BF223" s="27"/>
      <c r="BG223" s="27"/>
      <c r="BH223" s="27"/>
      <c r="BI223" s="27"/>
      <c r="BJ223" s="27"/>
      <c r="BK223" s="27"/>
      <c r="BL223" s="27"/>
      <c r="BM223" s="27"/>
    </row>
    <row r="224">
      <c r="I224" s="27"/>
      <c r="J224" s="27"/>
      <c r="K224" s="27"/>
      <c r="L224" s="27"/>
      <c r="M224" s="28"/>
      <c r="N224" s="29"/>
      <c r="O224" s="29"/>
      <c r="P224" s="29"/>
      <c r="Q224" s="27"/>
      <c r="R224" s="27"/>
      <c r="S224" s="27"/>
      <c r="T224" s="27"/>
      <c r="U224" s="27"/>
      <c r="V224" s="27"/>
      <c r="AE224" s="27"/>
      <c r="AF224" s="27"/>
      <c r="AG224" s="27"/>
      <c r="AH224" s="27"/>
      <c r="AI224" s="28"/>
      <c r="AJ224" s="29"/>
      <c r="AK224" s="29"/>
      <c r="AL224" s="27"/>
      <c r="AM224" s="27"/>
      <c r="AN224" s="27"/>
      <c r="AO224" s="27"/>
      <c r="AP224" s="27"/>
      <c r="AY224" s="27"/>
      <c r="AZ224" s="27"/>
      <c r="BA224" s="27"/>
      <c r="BB224" s="27"/>
      <c r="BC224" s="28"/>
      <c r="BD224" s="29"/>
      <c r="BE224" s="29"/>
      <c r="BF224" s="27"/>
      <c r="BG224" s="27"/>
      <c r="BH224" s="27"/>
      <c r="BI224" s="27"/>
      <c r="BJ224" s="27"/>
      <c r="BK224" s="27"/>
      <c r="BL224" s="27"/>
      <c r="BM224" s="27"/>
    </row>
    <row r="225">
      <c r="I225" s="27"/>
      <c r="J225" s="27"/>
      <c r="K225" s="27"/>
      <c r="L225" s="27"/>
      <c r="M225" s="28"/>
      <c r="N225" s="29"/>
      <c r="O225" s="29"/>
      <c r="P225" s="29"/>
      <c r="Q225" s="27"/>
      <c r="R225" s="27"/>
      <c r="S225" s="27"/>
      <c r="T225" s="27"/>
      <c r="U225" s="27"/>
      <c r="V225" s="27"/>
      <c r="AE225" s="27"/>
      <c r="AF225" s="27"/>
      <c r="AG225" s="27"/>
      <c r="AH225" s="27"/>
      <c r="AI225" s="28"/>
      <c r="AJ225" s="29"/>
      <c r="AK225" s="29"/>
      <c r="AL225" s="27"/>
      <c r="AM225" s="27"/>
      <c r="AN225" s="27"/>
      <c r="AO225" s="27"/>
      <c r="AP225" s="27"/>
      <c r="AY225" s="27"/>
      <c r="AZ225" s="27"/>
      <c r="BA225" s="27"/>
      <c r="BB225" s="27"/>
      <c r="BC225" s="28"/>
      <c r="BD225" s="29"/>
      <c r="BE225" s="29"/>
      <c r="BF225" s="27"/>
      <c r="BG225" s="27"/>
      <c r="BH225" s="27"/>
      <c r="BI225" s="27"/>
      <c r="BJ225" s="27"/>
      <c r="BK225" s="27"/>
      <c r="BL225" s="27"/>
      <c r="BM225" s="27"/>
    </row>
    <row r="226">
      <c r="I226" s="27"/>
      <c r="J226" s="27"/>
      <c r="K226" s="27"/>
      <c r="L226" s="27"/>
      <c r="M226" s="28"/>
      <c r="N226" s="29"/>
      <c r="O226" s="29"/>
      <c r="P226" s="29"/>
      <c r="Q226" s="27"/>
      <c r="R226" s="27"/>
      <c r="S226" s="27"/>
      <c r="T226" s="27"/>
      <c r="U226" s="27"/>
      <c r="V226" s="27"/>
      <c r="AE226" s="27"/>
      <c r="AF226" s="27"/>
      <c r="AG226" s="27"/>
      <c r="AH226" s="27"/>
      <c r="AI226" s="28"/>
      <c r="AJ226" s="29"/>
      <c r="AK226" s="29"/>
      <c r="AL226" s="27"/>
      <c r="AM226" s="27"/>
      <c r="AN226" s="27"/>
      <c r="AO226" s="27"/>
      <c r="AP226" s="27"/>
      <c r="AY226" s="27"/>
      <c r="AZ226" s="27"/>
      <c r="BA226" s="27"/>
      <c r="BB226" s="27"/>
      <c r="BC226" s="28"/>
      <c r="BD226" s="29"/>
      <c r="BE226" s="29"/>
      <c r="BF226" s="27"/>
      <c r="BG226" s="27"/>
      <c r="BH226" s="27"/>
      <c r="BI226" s="27"/>
      <c r="BJ226" s="27"/>
      <c r="BK226" s="27"/>
      <c r="BL226" s="27"/>
      <c r="BM226" s="27"/>
    </row>
    <row r="227">
      <c r="I227" s="27"/>
      <c r="J227" s="27"/>
      <c r="K227" s="27"/>
      <c r="L227" s="27"/>
      <c r="M227" s="28"/>
      <c r="N227" s="29"/>
      <c r="O227" s="29"/>
      <c r="P227" s="29"/>
      <c r="Q227" s="27"/>
      <c r="R227" s="27"/>
      <c r="S227" s="27"/>
      <c r="T227" s="27"/>
      <c r="U227" s="27"/>
      <c r="V227" s="27"/>
      <c r="AE227" s="27"/>
      <c r="AF227" s="27"/>
      <c r="AG227" s="27"/>
      <c r="AH227" s="27"/>
      <c r="AI227" s="28"/>
      <c r="AJ227" s="29"/>
      <c r="AK227" s="29"/>
      <c r="AL227" s="27"/>
      <c r="AM227" s="27"/>
      <c r="AN227" s="27"/>
      <c r="AO227" s="27"/>
      <c r="AP227" s="27"/>
      <c r="AY227" s="27"/>
      <c r="AZ227" s="27"/>
      <c r="BA227" s="27"/>
      <c r="BB227" s="27"/>
      <c r="BC227" s="28"/>
      <c r="BD227" s="29"/>
      <c r="BE227" s="29"/>
      <c r="BF227" s="27"/>
      <c r="BG227" s="27"/>
      <c r="BH227" s="27"/>
      <c r="BI227" s="27"/>
      <c r="BJ227" s="27"/>
      <c r="BK227" s="27"/>
      <c r="BL227" s="27"/>
      <c r="BM227" s="27"/>
    </row>
    <row r="228">
      <c r="I228" s="27"/>
      <c r="J228" s="27"/>
      <c r="K228" s="27"/>
      <c r="L228" s="27"/>
      <c r="M228" s="28"/>
      <c r="N228" s="29"/>
      <c r="O228" s="29"/>
      <c r="P228" s="29"/>
      <c r="Q228" s="27"/>
      <c r="R228" s="27"/>
      <c r="S228" s="27"/>
      <c r="T228" s="27"/>
      <c r="U228" s="27"/>
      <c r="V228" s="27"/>
      <c r="AE228" s="27"/>
      <c r="AF228" s="27"/>
      <c r="AG228" s="27"/>
      <c r="AH228" s="27"/>
      <c r="AI228" s="28"/>
      <c r="AJ228" s="29"/>
      <c r="AK228" s="29"/>
      <c r="AL228" s="27"/>
      <c r="AM228" s="27"/>
      <c r="AN228" s="27"/>
      <c r="AO228" s="27"/>
      <c r="AP228" s="27"/>
      <c r="AY228" s="27"/>
      <c r="AZ228" s="27"/>
      <c r="BA228" s="27"/>
      <c r="BB228" s="27"/>
      <c r="BC228" s="28"/>
      <c r="BD228" s="29"/>
      <c r="BE228" s="29"/>
      <c r="BF228" s="27"/>
      <c r="BG228" s="27"/>
      <c r="BH228" s="27"/>
      <c r="BI228" s="27"/>
      <c r="BJ228" s="27"/>
      <c r="BK228" s="27"/>
      <c r="BL228" s="27"/>
      <c r="BM228" s="27"/>
    </row>
    <row r="229">
      <c r="I229" s="27"/>
      <c r="J229" s="27"/>
      <c r="K229" s="27"/>
      <c r="L229" s="27"/>
      <c r="M229" s="28"/>
      <c r="N229" s="29"/>
      <c r="O229" s="29"/>
      <c r="P229" s="29"/>
      <c r="Q229" s="27"/>
      <c r="R229" s="27"/>
      <c r="S229" s="27"/>
      <c r="T229" s="27"/>
      <c r="U229" s="27"/>
      <c r="V229" s="27"/>
      <c r="AE229" s="27"/>
      <c r="AF229" s="27"/>
      <c r="AG229" s="27"/>
      <c r="AH229" s="27"/>
      <c r="AI229" s="28"/>
      <c r="AJ229" s="29"/>
      <c r="AK229" s="29"/>
      <c r="AL229" s="27"/>
      <c r="AM229" s="27"/>
      <c r="AN229" s="27"/>
      <c r="AO229" s="27"/>
      <c r="AP229" s="27"/>
      <c r="AY229" s="27"/>
      <c r="AZ229" s="27"/>
      <c r="BA229" s="27"/>
      <c r="BB229" s="27"/>
      <c r="BC229" s="28"/>
      <c r="BD229" s="29"/>
      <c r="BE229" s="29"/>
      <c r="BF229" s="27"/>
      <c r="BG229" s="27"/>
      <c r="BH229" s="27"/>
      <c r="BI229" s="27"/>
      <c r="BJ229" s="27"/>
      <c r="BK229" s="27"/>
      <c r="BL229" s="27"/>
      <c r="BM229" s="27"/>
    </row>
    <row r="230">
      <c r="I230" s="27"/>
      <c r="J230" s="27"/>
      <c r="K230" s="27"/>
      <c r="L230" s="27"/>
      <c r="M230" s="28"/>
      <c r="N230" s="29"/>
      <c r="O230" s="29"/>
      <c r="P230" s="29"/>
      <c r="Q230" s="27"/>
      <c r="R230" s="27"/>
      <c r="S230" s="27"/>
      <c r="T230" s="27"/>
      <c r="U230" s="27"/>
      <c r="V230" s="27"/>
      <c r="AE230" s="27"/>
      <c r="AF230" s="27"/>
      <c r="AG230" s="27"/>
      <c r="AH230" s="27"/>
      <c r="AI230" s="28"/>
      <c r="AJ230" s="29"/>
      <c r="AK230" s="29"/>
      <c r="AL230" s="27"/>
      <c r="AM230" s="27"/>
      <c r="AN230" s="27"/>
      <c r="AO230" s="27"/>
      <c r="AP230" s="27"/>
      <c r="AY230" s="27"/>
      <c r="AZ230" s="27"/>
      <c r="BA230" s="27"/>
      <c r="BB230" s="27"/>
      <c r="BC230" s="28"/>
      <c r="BD230" s="29"/>
      <c r="BE230" s="29"/>
      <c r="BF230" s="27"/>
      <c r="BG230" s="27"/>
      <c r="BH230" s="27"/>
      <c r="BI230" s="27"/>
      <c r="BJ230" s="27"/>
      <c r="BK230" s="27"/>
      <c r="BL230" s="27"/>
      <c r="BM230" s="27"/>
    </row>
    <row r="231">
      <c r="I231" s="27"/>
      <c r="J231" s="27"/>
      <c r="K231" s="27"/>
      <c r="L231" s="27"/>
      <c r="M231" s="28"/>
      <c r="N231" s="29"/>
      <c r="O231" s="29"/>
      <c r="P231" s="29"/>
      <c r="Q231" s="27"/>
      <c r="R231" s="27"/>
      <c r="S231" s="27"/>
      <c r="T231" s="27"/>
      <c r="U231" s="27"/>
      <c r="V231" s="27"/>
      <c r="AE231" s="27"/>
      <c r="AF231" s="27"/>
      <c r="AG231" s="27"/>
      <c r="AH231" s="27"/>
      <c r="AI231" s="28"/>
      <c r="AJ231" s="29"/>
      <c r="AK231" s="29"/>
      <c r="AL231" s="27"/>
      <c r="AM231" s="27"/>
      <c r="AN231" s="27"/>
      <c r="AO231" s="27"/>
      <c r="AP231" s="27"/>
      <c r="AY231" s="27"/>
      <c r="AZ231" s="27"/>
      <c r="BA231" s="27"/>
      <c r="BB231" s="27"/>
      <c r="BC231" s="28"/>
      <c r="BD231" s="29"/>
      <c r="BE231" s="29"/>
      <c r="BF231" s="27"/>
      <c r="BG231" s="27"/>
      <c r="BH231" s="27"/>
      <c r="BI231" s="27"/>
      <c r="BJ231" s="27"/>
      <c r="BK231" s="27"/>
      <c r="BL231" s="27"/>
      <c r="BM231" s="27"/>
    </row>
    <row r="232">
      <c r="I232" s="27"/>
      <c r="J232" s="27"/>
      <c r="K232" s="27"/>
      <c r="L232" s="27"/>
      <c r="M232" s="28"/>
      <c r="N232" s="29"/>
      <c r="O232" s="29"/>
      <c r="P232" s="29"/>
      <c r="Q232" s="27"/>
      <c r="R232" s="27"/>
      <c r="S232" s="27"/>
      <c r="T232" s="27"/>
      <c r="U232" s="27"/>
      <c r="V232" s="27"/>
      <c r="AE232" s="27"/>
      <c r="AF232" s="27"/>
      <c r="AG232" s="27"/>
      <c r="AH232" s="27"/>
      <c r="AI232" s="28"/>
      <c r="AJ232" s="29"/>
      <c r="AK232" s="29"/>
      <c r="AL232" s="27"/>
      <c r="AM232" s="27"/>
      <c r="AN232" s="27"/>
      <c r="AO232" s="27"/>
      <c r="AP232" s="27"/>
      <c r="AY232" s="27"/>
      <c r="AZ232" s="27"/>
      <c r="BA232" s="27"/>
      <c r="BB232" s="27"/>
      <c r="BC232" s="28"/>
      <c r="BD232" s="29"/>
      <c r="BE232" s="29"/>
      <c r="BF232" s="27"/>
      <c r="BG232" s="27"/>
      <c r="BH232" s="27"/>
      <c r="BI232" s="27"/>
      <c r="BJ232" s="27"/>
      <c r="BK232" s="27"/>
      <c r="BL232" s="27"/>
      <c r="BM232" s="27"/>
    </row>
    <row r="233">
      <c r="I233" s="27"/>
      <c r="J233" s="27"/>
      <c r="K233" s="27"/>
      <c r="L233" s="27"/>
      <c r="M233" s="28"/>
      <c r="N233" s="29"/>
      <c r="O233" s="29"/>
      <c r="P233" s="29"/>
      <c r="Q233" s="27"/>
      <c r="R233" s="27"/>
      <c r="S233" s="27"/>
      <c r="T233" s="27"/>
      <c r="U233" s="27"/>
      <c r="V233" s="27"/>
      <c r="AE233" s="27"/>
      <c r="AF233" s="27"/>
      <c r="AG233" s="27"/>
      <c r="AH233" s="27"/>
      <c r="AI233" s="28"/>
      <c r="AJ233" s="29"/>
      <c r="AK233" s="29"/>
      <c r="AL233" s="27"/>
      <c r="AM233" s="27"/>
      <c r="AN233" s="27"/>
      <c r="AO233" s="27"/>
      <c r="AP233" s="27"/>
      <c r="AY233" s="27"/>
      <c r="AZ233" s="27"/>
      <c r="BA233" s="27"/>
      <c r="BB233" s="27"/>
      <c r="BC233" s="28"/>
      <c r="BD233" s="29"/>
      <c r="BE233" s="29"/>
      <c r="BF233" s="27"/>
      <c r="BG233" s="27"/>
      <c r="BH233" s="27"/>
      <c r="BI233" s="27"/>
      <c r="BJ233" s="27"/>
      <c r="BK233" s="27"/>
      <c r="BL233" s="27"/>
      <c r="BM233" s="27"/>
    </row>
    <row r="234">
      <c r="I234" s="27"/>
      <c r="J234" s="27"/>
      <c r="K234" s="27"/>
      <c r="L234" s="27"/>
      <c r="M234" s="28"/>
      <c r="N234" s="29"/>
      <c r="O234" s="29"/>
      <c r="P234" s="29"/>
      <c r="Q234" s="27"/>
      <c r="R234" s="27"/>
      <c r="S234" s="27"/>
      <c r="T234" s="27"/>
      <c r="U234" s="27"/>
      <c r="V234" s="27"/>
      <c r="AE234" s="27"/>
      <c r="AF234" s="27"/>
      <c r="AG234" s="27"/>
      <c r="AH234" s="27"/>
      <c r="AI234" s="28"/>
      <c r="AJ234" s="29"/>
      <c r="AK234" s="29"/>
      <c r="AL234" s="27"/>
      <c r="AM234" s="27"/>
      <c r="AN234" s="27"/>
      <c r="AO234" s="27"/>
      <c r="AP234" s="27"/>
      <c r="AY234" s="27"/>
      <c r="AZ234" s="27"/>
      <c r="BA234" s="27"/>
      <c r="BB234" s="27"/>
      <c r="BC234" s="28"/>
      <c r="BD234" s="29"/>
      <c r="BE234" s="29"/>
      <c r="BF234" s="27"/>
      <c r="BG234" s="27"/>
      <c r="BH234" s="27"/>
      <c r="BI234" s="27"/>
      <c r="BJ234" s="27"/>
      <c r="BK234" s="27"/>
      <c r="BL234" s="27"/>
      <c r="BM234" s="27"/>
    </row>
    <row r="235">
      <c r="I235" s="27"/>
      <c r="J235" s="27"/>
      <c r="K235" s="27"/>
      <c r="L235" s="27"/>
      <c r="M235" s="28"/>
      <c r="N235" s="29"/>
      <c r="O235" s="29"/>
      <c r="P235" s="29"/>
      <c r="Q235" s="27"/>
      <c r="R235" s="27"/>
      <c r="S235" s="27"/>
      <c r="T235" s="27"/>
      <c r="U235" s="27"/>
      <c r="V235" s="27"/>
      <c r="AE235" s="27"/>
      <c r="AF235" s="27"/>
      <c r="AG235" s="27"/>
      <c r="AH235" s="27"/>
      <c r="AI235" s="28"/>
      <c r="AJ235" s="29"/>
      <c r="AK235" s="29"/>
      <c r="AL235" s="27"/>
      <c r="AM235" s="27"/>
      <c r="AN235" s="27"/>
      <c r="AO235" s="27"/>
      <c r="AP235" s="27"/>
      <c r="AY235" s="27"/>
      <c r="AZ235" s="27"/>
      <c r="BA235" s="27"/>
      <c r="BB235" s="27"/>
      <c r="BC235" s="28"/>
      <c r="BD235" s="29"/>
      <c r="BE235" s="29"/>
      <c r="BF235" s="27"/>
      <c r="BG235" s="27"/>
      <c r="BH235" s="27"/>
      <c r="BI235" s="27"/>
      <c r="BJ235" s="27"/>
      <c r="BK235" s="27"/>
      <c r="BL235" s="27"/>
      <c r="BM235" s="27"/>
    </row>
    <row r="236">
      <c r="I236" s="27"/>
      <c r="J236" s="27"/>
      <c r="K236" s="27"/>
      <c r="L236" s="27"/>
      <c r="M236" s="28"/>
      <c r="N236" s="29"/>
      <c r="O236" s="29"/>
      <c r="P236" s="29"/>
      <c r="Q236" s="27"/>
      <c r="R236" s="27"/>
      <c r="S236" s="27"/>
      <c r="T236" s="27"/>
      <c r="U236" s="27"/>
      <c r="V236" s="27"/>
      <c r="AE236" s="27"/>
      <c r="AF236" s="27"/>
      <c r="AG236" s="27"/>
      <c r="AH236" s="27"/>
      <c r="AI236" s="28"/>
      <c r="AJ236" s="29"/>
      <c r="AK236" s="29"/>
      <c r="AL236" s="27"/>
      <c r="AM236" s="27"/>
      <c r="AN236" s="27"/>
      <c r="AO236" s="27"/>
      <c r="AP236" s="27"/>
      <c r="AY236" s="27"/>
      <c r="AZ236" s="27"/>
      <c r="BA236" s="27"/>
      <c r="BB236" s="27"/>
      <c r="BC236" s="28"/>
      <c r="BD236" s="29"/>
      <c r="BE236" s="29"/>
      <c r="BF236" s="27"/>
      <c r="BG236" s="27"/>
      <c r="BH236" s="27"/>
      <c r="BI236" s="27"/>
      <c r="BJ236" s="27"/>
      <c r="BK236" s="27"/>
      <c r="BL236" s="27"/>
      <c r="BM236" s="27"/>
    </row>
    <row r="237">
      <c r="I237" s="27"/>
      <c r="J237" s="27"/>
      <c r="K237" s="27"/>
      <c r="L237" s="27"/>
      <c r="M237" s="28"/>
      <c r="N237" s="29"/>
      <c r="O237" s="29"/>
      <c r="P237" s="29"/>
      <c r="Q237" s="27"/>
      <c r="R237" s="27"/>
      <c r="S237" s="27"/>
      <c r="T237" s="27"/>
      <c r="U237" s="27"/>
      <c r="V237" s="27"/>
      <c r="AE237" s="27"/>
      <c r="AF237" s="27"/>
      <c r="AG237" s="27"/>
      <c r="AH237" s="27"/>
      <c r="AI237" s="28"/>
      <c r="AJ237" s="29"/>
      <c r="AK237" s="29"/>
      <c r="AL237" s="27"/>
      <c r="AM237" s="27"/>
      <c r="AN237" s="27"/>
      <c r="AO237" s="27"/>
      <c r="AP237" s="27"/>
      <c r="AY237" s="27"/>
      <c r="AZ237" s="27"/>
      <c r="BA237" s="27"/>
      <c r="BB237" s="27"/>
      <c r="BC237" s="28"/>
      <c r="BD237" s="29"/>
      <c r="BE237" s="29"/>
      <c r="BF237" s="27"/>
      <c r="BG237" s="27"/>
      <c r="BH237" s="27"/>
      <c r="BI237" s="27"/>
      <c r="BJ237" s="27"/>
      <c r="BK237" s="27"/>
      <c r="BL237" s="27"/>
      <c r="BM237" s="27"/>
    </row>
    <row r="238">
      <c r="I238" s="27"/>
      <c r="J238" s="27"/>
      <c r="K238" s="27"/>
      <c r="L238" s="27"/>
      <c r="M238" s="28"/>
      <c r="N238" s="29"/>
      <c r="O238" s="29"/>
      <c r="P238" s="29"/>
      <c r="Q238" s="27"/>
      <c r="R238" s="27"/>
      <c r="S238" s="27"/>
      <c r="T238" s="27"/>
      <c r="U238" s="27"/>
      <c r="V238" s="27"/>
      <c r="AE238" s="27"/>
      <c r="AF238" s="27"/>
      <c r="AG238" s="27"/>
      <c r="AH238" s="27"/>
      <c r="AI238" s="28"/>
      <c r="AJ238" s="29"/>
      <c r="AK238" s="29"/>
      <c r="AL238" s="27"/>
      <c r="AM238" s="27"/>
      <c r="AN238" s="27"/>
      <c r="AO238" s="27"/>
      <c r="AP238" s="27"/>
      <c r="AY238" s="27"/>
      <c r="AZ238" s="27"/>
      <c r="BA238" s="27"/>
      <c r="BB238" s="27"/>
      <c r="BC238" s="28"/>
      <c r="BD238" s="29"/>
      <c r="BE238" s="29"/>
      <c r="BF238" s="27"/>
      <c r="BG238" s="27"/>
      <c r="BH238" s="27"/>
      <c r="BI238" s="27"/>
      <c r="BJ238" s="27"/>
      <c r="BK238" s="27"/>
      <c r="BL238" s="27"/>
      <c r="BM238" s="27"/>
    </row>
    <row r="239">
      <c r="I239" s="27"/>
      <c r="J239" s="27"/>
      <c r="K239" s="27"/>
      <c r="L239" s="27"/>
      <c r="M239" s="28"/>
      <c r="N239" s="29"/>
      <c r="O239" s="29"/>
      <c r="P239" s="29"/>
      <c r="Q239" s="27"/>
      <c r="R239" s="27"/>
      <c r="S239" s="27"/>
      <c r="T239" s="27"/>
      <c r="U239" s="27"/>
      <c r="V239" s="27"/>
      <c r="AE239" s="27"/>
      <c r="AF239" s="27"/>
      <c r="AG239" s="27"/>
      <c r="AH239" s="27"/>
      <c r="AI239" s="28"/>
      <c r="AJ239" s="29"/>
      <c r="AK239" s="29"/>
      <c r="AL239" s="27"/>
      <c r="AM239" s="27"/>
      <c r="AN239" s="27"/>
      <c r="AO239" s="27"/>
      <c r="AP239" s="27"/>
      <c r="AY239" s="27"/>
      <c r="AZ239" s="27"/>
      <c r="BA239" s="27"/>
      <c r="BB239" s="27"/>
      <c r="BC239" s="28"/>
      <c r="BD239" s="29"/>
      <c r="BE239" s="29"/>
      <c r="BF239" s="27"/>
      <c r="BG239" s="27"/>
      <c r="BH239" s="27"/>
      <c r="BI239" s="27"/>
      <c r="BJ239" s="27"/>
      <c r="BK239" s="27"/>
      <c r="BL239" s="27"/>
      <c r="BM239" s="27"/>
    </row>
    <row r="240">
      <c r="I240" s="27"/>
      <c r="J240" s="27"/>
      <c r="K240" s="27"/>
      <c r="L240" s="27"/>
      <c r="M240" s="28"/>
      <c r="N240" s="29"/>
      <c r="O240" s="29"/>
      <c r="P240" s="29"/>
      <c r="Q240" s="27"/>
      <c r="R240" s="27"/>
      <c r="S240" s="27"/>
      <c r="T240" s="27"/>
      <c r="U240" s="27"/>
      <c r="V240" s="27"/>
      <c r="AE240" s="27"/>
      <c r="AF240" s="27"/>
      <c r="AG240" s="27"/>
      <c r="AH240" s="27"/>
      <c r="AI240" s="28"/>
      <c r="AJ240" s="29"/>
      <c r="AK240" s="29"/>
      <c r="AL240" s="27"/>
      <c r="AM240" s="27"/>
      <c r="AN240" s="27"/>
      <c r="AO240" s="27"/>
      <c r="AP240" s="27"/>
      <c r="AY240" s="27"/>
      <c r="AZ240" s="27"/>
      <c r="BA240" s="27"/>
      <c r="BB240" s="27"/>
      <c r="BC240" s="28"/>
      <c r="BD240" s="29"/>
      <c r="BE240" s="29"/>
      <c r="BF240" s="27"/>
      <c r="BG240" s="27"/>
      <c r="BH240" s="27"/>
      <c r="BI240" s="27"/>
      <c r="BJ240" s="27"/>
      <c r="BK240" s="27"/>
      <c r="BL240" s="27"/>
      <c r="BM240" s="27"/>
    </row>
    <row r="241">
      <c r="I241" s="27"/>
      <c r="J241" s="27"/>
      <c r="K241" s="27"/>
      <c r="L241" s="27"/>
      <c r="M241" s="28"/>
      <c r="N241" s="29"/>
      <c r="O241" s="29"/>
      <c r="P241" s="29"/>
      <c r="Q241" s="27"/>
      <c r="R241" s="27"/>
      <c r="S241" s="27"/>
      <c r="T241" s="27"/>
      <c r="U241" s="27"/>
      <c r="V241" s="27"/>
      <c r="AE241" s="27"/>
      <c r="AF241" s="27"/>
      <c r="AG241" s="27"/>
      <c r="AH241" s="27"/>
      <c r="AI241" s="28"/>
      <c r="AJ241" s="29"/>
      <c r="AK241" s="29"/>
      <c r="AL241" s="27"/>
      <c r="AM241" s="27"/>
      <c r="AN241" s="27"/>
      <c r="AO241" s="27"/>
      <c r="AP241" s="27"/>
      <c r="AY241" s="27"/>
      <c r="AZ241" s="27"/>
      <c r="BA241" s="27"/>
      <c r="BB241" s="27"/>
      <c r="BC241" s="28"/>
      <c r="BD241" s="29"/>
      <c r="BE241" s="29"/>
      <c r="BF241" s="27"/>
      <c r="BG241" s="27"/>
      <c r="BH241" s="27"/>
      <c r="BI241" s="27"/>
      <c r="BJ241" s="27"/>
      <c r="BK241" s="27"/>
      <c r="BL241" s="27"/>
      <c r="BM241" s="27"/>
    </row>
    <row r="242">
      <c r="I242" s="27"/>
      <c r="J242" s="27"/>
      <c r="K242" s="27"/>
      <c r="L242" s="27"/>
      <c r="M242" s="28"/>
      <c r="N242" s="29"/>
      <c r="O242" s="29"/>
      <c r="P242" s="29"/>
      <c r="Q242" s="27"/>
      <c r="R242" s="27"/>
      <c r="S242" s="27"/>
      <c r="T242" s="27"/>
      <c r="U242" s="27"/>
      <c r="V242" s="27"/>
      <c r="AE242" s="27"/>
      <c r="AF242" s="27"/>
      <c r="AG242" s="27"/>
      <c r="AH242" s="27"/>
      <c r="AI242" s="28"/>
      <c r="AJ242" s="29"/>
      <c r="AK242" s="29"/>
      <c r="AL242" s="27"/>
      <c r="AM242" s="27"/>
      <c r="AN242" s="27"/>
      <c r="AO242" s="27"/>
      <c r="AP242" s="27"/>
      <c r="AY242" s="27"/>
      <c r="AZ242" s="27"/>
      <c r="BA242" s="27"/>
      <c r="BB242" s="27"/>
      <c r="BC242" s="28"/>
      <c r="BD242" s="29"/>
      <c r="BE242" s="29"/>
      <c r="BF242" s="27"/>
      <c r="BG242" s="27"/>
      <c r="BH242" s="27"/>
      <c r="BI242" s="27"/>
      <c r="BJ242" s="27"/>
      <c r="BK242" s="27"/>
      <c r="BL242" s="27"/>
      <c r="BM242" s="27"/>
    </row>
    <row r="243">
      <c r="I243" s="27"/>
      <c r="J243" s="27"/>
      <c r="K243" s="27"/>
      <c r="L243" s="27"/>
      <c r="M243" s="28"/>
      <c r="N243" s="29"/>
      <c r="O243" s="29"/>
      <c r="P243" s="29"/>
      <c r="Q243" s="27"/>
      <c r="R243" s="27"/>
      <c r="S243" s="27"/>
      <c r="T243" s="27"/>
      <c r="U243" s="27"/>
      <c r="V243" s="27"/>
      <c r="AE243" s="27"/>
      <c r="AF243" s="27"/>
      <c r="AG243" s="27"/>
      <c r="AH243" s="27"/>
      <c r="AI243" s="28"/>
      <c r="AJ243" s="29"/>
      <c r="AK243" s="29"/>
      <c r="AL243" s="27"/>
      <c r="AM243" s="27"/>
      <c r="AN243" s="27"/>
      <c r="AO243" s="27"/>
      <c r="AP243" s="27"/>
      <c r="AY243" s="27"/>
      <c r="AZ243" s="27"/>
      <c r="BA243" s="27"/>
      <c r="BB243" s="27"/>
      <c r="BC243" s="28"/>
      <c r="BD243" s="29"/>
      <c r="BE243" s="29"/>
      <c r="BF243" s="27"/>
      <c r="BG243" s="27"/>
      <c r="BH243" s="27"/>
      <c r="BI243" s="27"/>
      <c r="BJ243" s="27"/>
      <c r="BK243" s="27"/>
      <c r="BL243" s="27"/>
      <c r="BM243" s="27"/>
    </row>
    <row r="244">
      <c r="I244" s="27"/>
      <c r="J244" s="27"/>
      <c r="K244" s="27"/>
      <c r="L244" s="27"/>
      <c r="M244" s="28"/>
      <c r="N244" s="29"/>
      <c r="O244" s="29"/>
      <c r="P244" s="29"/>
      <c r="Q244" s="27"/>
      <c r="R244" s="27"/>
      <c r="S244" s="27"/>
      <c r="T244" s="27"/>
      <c r="U244" s="27"/>
      <c r="V244" s="27"/>
      <c r="AE244" s="27"/>
      <c r="AF244" s="27"/>
      <c r="AG244" s="27"/>
      <c r="AH244" s="27"/>
      <c r="AI244" s="28"/>
      <c r="AJ244" s="29"/>
      <c r="AK244" s="29"/>
      <c r="AL244" s="27"/>
      <c r="AM244" s="27"/>
      <c r="AN244" s="27"/>
      <c r="AO244" s="27"/>
      <c r="AP244" s="27"/>
      <c r="AY244" s="27"/>
      <c r="AZ244" s="27"/>
      <c r="BA244" s="27"/>
      <c r="BB244" s="27"/>
      <c r="BC244" s="28"/>
      <c r="BD244" s="29"/>
      <c r="BE244" s="29"/>
      <c r="BF244" s="27"/>
      <c r="BG244" s="27"/>
      <c r="BH244" s="27"/>
      <c r="BI244" s="27"/>
      <c r="BJ244" s="27"/>
      <c r="BK244" s="27"/>
      <c r="BL244" s="27"/>
      <c r="BM244" s="27"/>
    </row>
    <row r="245">
      <c r="I245" s="27"/>
      <c r="J245" s="27"/>
      <c r="K245" s="27"/>
      <c r="L245" s="27"/>
      <c r="M245" s="28"/>
      <c r="N245" s="29"/>
      <c r="O245" s="29"/>
      <c r="P245" s="29"/>
      <c r="Q245" s="27"/>
      <c r="R245" s="27"/>
      <c r="S245" s="27"/>
      <c r="T245" s="27"/>
      <c r="U245" s="27"/>
      <c r="V245" s="27"/>
      <c r="AE245" s="27"/>
      <c r="AF245" s="27"/>
      <c r="AG245" s="27"/>
      <c r="AH245" s="27"/>
      <c r="AI245" s="28"/>
      <c r="AJ245" s="29"/>
      <c r="AK245" s="29"/>
      <c r="AL245" s="27"/>
      <c r="AM245" s="27"/>
      <c r="AN245" s="27"/>
      <c r="AO245" s="27"/>
      <c r="AP245" s="27"/>
      <c r="AY245" s="27"/>
      <c r="AZ245" s="27"/>
      <c r="BA245" s="27"/>
      <c r="BB245" s="27"/>
      <c r="BC245" s="28"/>
      <c r="BD245" s="29"/>
      <c r="BE245" s="29"/>
      <c r="BF245" s="27"/>
      <c r="BG245" s="27"/>
      <c r="BH245" s="27"/>
      <c r="BI245" s="27"/>
      <c r="BJ245" s="27"/>
      <c r="BK245" s="27"/>
      <c r="BL245" s="27"/>
      <c r="BM245" s="27"/>
    </row>
    <row r="246">
      <c r="I246" s="27"/>
      <c r="J246" s="27"/>
      <c r="K246" s="27"/>
      <c r="L246" s="27"/>
      <c r="M246" s="28"/>
      <c r="N246" s="29"/>
      <c r="O246" s="29"/>
      <c r="P246" s="29"/>
      <c r="Q246" s="27"/>
      <c r="R246" s="27"/>
      <c r="S246" s="27"/>
      <c r="T246" s="27"/>
      <c r="U246" s="27"/>
      <c r="V246" s="27"/>
      <c r="AE246" s="27"/>
      <c r="AF246" s="27"/>
      <c r="AG246" s="27"/>
      <c r="AH246" s="27"/>
      <c r="AI246" s="28"/>
      <c r="AJ246" s="29"/>
      <c r="AK246" s="29"/>
      <c r="AL246" s="27"/>
      <c r="AM246" s="27"/>
      <c r="AN246" s="27"/>
      <c r="AO246" s="27"/>
      <c r="AP246" s="27"/>
      <c r="AY246" s="27"/>
      <c r="AZ246" s="27"/>
      <c r="BA246" s="27"/>
      <c r="BB246" s="27"/>
      <c r="BC246" s="28"/>
      <c r="BD246" s="29"/>
      <c r="BE246" s="29"/>
      <c r="BF246" s="27"/>
      <c r="BG246" s="27"/>
      <c r="BH246" s="27"/>
      <c r="BI246" s="27"/>
      <c r="BJ246" s="27"/>
      <c r="BK246" s="27"/>
      <c r="BL246" s="27"/>
      <c r="BM246" s="27"/>
    </row>
    <row r="247">
      <c r="I247" s="27"/>
      <c r="J247" s="27"/>
      <c r="K247" s="27"/>
      <c r="L247" s="27"/>
      <c r="M247" s="28"/>
      <c r="N247" s="29"/>
      <c r="O247" s="29"/>
      <c r="P247" s="29"/>
      <c r="Q247" s="27"/>
      <c r="R247" s="27"/>
      <c r="S247" s="27"/>
      <c r="T247" s="27"/>
      <c r="U247" s="27"/>
      <c r="V247" s="27"/>
      <c r="AE247" s="27"/>
      <c r="AF247" s="27"/>
      <c r="AG247" s="27"/>
      <c r="AH247" s="27"/>
      <c r="AI247" s="28"/>
      <c r="AJ247" s="29"/>
      <c r="AK247" s="29"/>
      <c r="AL247" s="27"/>
      <c r="AM247" s="27"/>
      <c r="AN247" s="27"/>
      <c r="AO247" s="27"/>
      <c r="AP247" s="27"/>
      <c r="AY247" s="27"/>
      <c r="AZ247" s="27"/>
      <c r="BA247" s="27"/>
      <c r="BB247" s="27"/>
      <c r="BC247" s="28"/>
      <c r="BD247" s="29"/>
      <c r="BE247" s="29"/>
      <c r="BF247" s="27"/>
      <c r="BG247" s="27"/>
      <c r="BH247" s="27"/>
      <c r="BI247" s="27"/>
      <c r="BJ247" s="27"/>
      <c r="BK247" s="27"/>
      <c r="BL247" s="27"/>
      <c r="BM247" s="27"/>
    </row>
    <row r="248">
      <c r="I248" s="27"/>
      <c r="J248" s="27"/>
      <c r="K248" s="27"/>
      <c r="L248" s="27"/>
      <c r="M248" s="28"/>
      <c r="N248" s="29"/>
      <c r="O248" s="29"/>
      <c r="P248" s="29"/>
      <c r="Q248" s="27"/>
      <c r="R248" s="27"/>
      <c r="S248" s="27"/>
      <c r="T248" s="27"/>
      <c r="U248" s="27"/>
      <c r="V248" s="27"/>
      <c r="AE248" s="27"/>
      <c r="AF248" s="27"/>
      <c r="AG248" s="27"/>
      <c r="AH248" s="27"/>
      <c r="AI248" s="28"/>
      <c r="AJ248" s="29"/>
      <c r="AK248" s="29"/>
      <c r="AL248" s="27"/>
      <c r="AM248" s="27"/>
      <c r="AN248" s="27"/>
      <c r="AO248" s="27"/>
      <c r="AP248" s="27"/>
      <c r="AY248" s="27"/>
      <c r="AZ248" s="27"/>
      <c r="BA248" s="27"/>
      <c r="BB248" s="27"/>
      <c r="BC248" s="28"/>
      <c r="BD248" s="29"/>
      <c r="BE248" s="29"/>
      <c r="BF248" s="27"/>
      <c r="BG248" s="27"/>
      <c r="BH248" s="27"/>
      <c r="BI248" s="27"/>
      <c r="BJ248" s="27"/>
      <c r="BK248" s="27"/>
      <c r="BL248" s="27"/>
      <c r="BM248" s="27"/>
    </row>
    <row r="249">
      <c r="I249" s="27"/>
      <c r="J249" s="27"/>
      <c r="K249" s="27"/>
      <c r="L249" s="27"/>
      <c r="M249" s="28"/>
      <c r="N249" s="29"/>
      <c r="O249" s="29"/>
      <c r="P249" s="29"/>
      <c r="Q249" s="27"/>
      <c r="R249" s="27"/>
      <c r="S249" s="27"/>
      <c r="T249" s="27"/>
      <c r="U249" s="27"/>
      <c r="V249" s="27"/>
      <c r="AE249" s="27"/>
      <c r="AF249" s="27"/>
      <c r="AG249" s="27"/>
      <c r="AH249" s="27"/>
      <c r="AI249" s="28"/>
      <c r="AJ249" s="29"/>
      <c r="AK249" s="29"/>
      <c r="AL249" s="27"/>
      <c r="AM249" s="27"/>
      <c r="AN249" s="27"/>
      <c r="AO249" s="27"/>
      <c r="AP249" s="27"/>
      <c r="AY249" s="27"/>
      <c r="AZ249" s="27"/>
      <c r="BA249" s="27"/>
      <c r="BB249" s="27"/>
      <c r="BC249" s="28"/>
      <c r="BD249" s="29"/>
      <c r="BE249" s="29"/>
      <c r="BF249" s="27"/>
      <c r="BG249" s="27"/>
      <c r="BH249" s="27"/>
      <c r="BI249" s="27"/>
      <c r="BJ249" s="27"/>
      <c r="BK249" s="27"/>
      <c r="BL249" s="27"/>
      <c r="BM249" s="27"/>
    </row>
    <row r="250">
      <c r="I250" s="27"/>
      <c r="J250" s="27"/>
      <c r="K250" s="27"/>
      <c r="L250" s="27"/>
      <c r="M250" s="28"/>
      <c r="N250" s="29"/>
      <c r="O250" s="29"/>
      <c r="P250" s="29"/>
      <c r="Q250" s="27"/>
      <c r="R250" s="27"/>
      <c r="S250" s="27"/>
      <c r="T250" s="27"/>
      <c r="U250" s="27"/>
      <c r="V250" s="27"/>
      <c r="AE250" s="27"/>
      <c r="AF250" s="27"/>
      <c r="AG250" s="27"/>
      <c r="AH250" s="27"/>
      <c r="AI250" s="28"/>
      <c r="AJ250" s="29"/>
      <c r="AK250" s="29"/>
      <c r="AL250" s="27"/>
      <c r="AM250" s="27"/>
      <c r="AN250" s="27"/>
      <c r="AO250" s="27"/>
      <c r="AP250" s="27"/>
      <c r="AY250" s="27"/>
      <c r="AZ250" s="27"/>
      <c r="BA250" s="27"/>
      <c r="BB250" s="27"/>
      <c r="BC250" s="28"/>
      <c r="BD250" s="29"/>
      <c r="BE250" s="29"/>
      <c r="BF250" s="27"/>
      <c r="BG250" s="27"/>
      <c r="BH250" s="27"/>
      <c r="BI250" s="27"/>
      <c r="BJ250" s="27"/>
      <c r="BK250" s="27"/>
      <c r="BL250" s="27"/>
      <c r="BM250" s="27"/>
    </row>
    <row r="251">
      <c r="I251" s="27"/>
      <c r="J251" s="27"/>
      <c r="K251" s="27"/>
      <c r="L251" s="27"/>
      <c r="M251" s="28"/>
      <c r="N251" s="29"/>
      <c r="O251" s="29"/>
      <c r="P251" s="29"/>
      <c r="Q251" s="27"/>
      <c r="R251" s="27"/>
      <c r="S251" s="27"/>
      <c r="T251" s="27"/>
      <c r="U251" s="27"/>
      <c r="V251" s="27"/>
      <c r="AE251" s="27"/>
      <c r="AF251" s="27"/>
      <c r="AG251" s="27"/>
      <c r="AH251" s="27"/>
      <c r="AI251" s="28"/>
      <c r="AJ251" s="29"/>
      <c r="AK251" s="29"/>
      <c r="AL251" s="27"/>
      <c r="AM251" s="27"/>
      <c r="AN251" s="27"/>
      <c r="AO251" s="27"/>
      <c r="AP251" s="27"/>
      <c r="AY251" s="27"/>
      <c r="AZ251" s="27"/>
      <c r="BA251" s="27"/>
      <c r="BB251" s="27"/>
      <c r="BC251" s="28"/>
      <c r="BD251" s="29"/>
      <c r="BE251" s="29"/>
      <c r="BF251" s="27"/>
      <c r="BG251" s="27"/>
      <c r="BH251" s="27"/>
      <c r="BI251" s="27"/>
      <c r="BJ251" s="27"/>
      <c r="BK251" s="27"/>
      <c r="BL251" s="27"/>
      <c r="BM251" s="27"/>
    </row>
    <row r="252">
      <c r="I252" s="27"/>
      <c r="J252" s="27"/>
      <c r="K252" s="27"/>
      <c r="L252" s="27"/>
      <c r="M252" s="28"/>
      <c r="N252" s="29"/>
      <c r="O252" s="29"/>
      <c r="P252" s="29"/>
      <c r="Q252" s="27"/>
      <c r="R252" s="27"/>
      <c r="S252" s="27"/>
      <c r="T252" s="27"/>
      <c r="U252" s="27"/>
      <c r="V252" s="27"/>
      <c r="AE252" s="27"/>
      <c r="AF252" s="27"/>
      <c r="AG252" s="27"/>
      <c r="AH252" s="27"/>
      <c r="AI252" s="28"/>
      <c r="AJ252" s="29"/>
      <c r="AK252" s="29"/>
      <c r="AL252" s="27"/>
      <c r="AM252" s="27"/>
      <c r="AN252" s="27"/>
      <c r="AO252" s="27"/>
      <c r="AP252" s="27"/>
      <c r="AY252" s="27"/>
      <c r="AZ252" s="27"/>
      <c r="BA252" s="27"/>
      <c r="BB252" s="27"/>
      <c r="BC252" s="28"/>
      <c r="BD252" s="29"/>
      <c r="BE252" s="29"/>
      <c r="BF252" s="27"/>
      <c r="BG252" s="27"/>
      <c r="BH252" s="27"/>
      <c r="BI252" s="27"/>
      <c r="BJ252" s="27"/>
      <c r="BK252" s="27"/>
      <c r="BL252" s="27"/>
      <c r="BM252" s="27"/>
    </row>
    <row r="253">
      <c r="I253" s="27"/>
      <c r="J253" s="27"/>
      <c r="K253" s="27"/>
      <c r="L253" s="27"/>
      <c r="M253" s="28"/>
      <c r="N253" s="29"/>
      <c r="O253" s="29"/>
      <c r="P253" s="29"/>
      <c r="Q253" s="27"/>
      <c r="R253" s="27"/>
      <c r="S253" s="27"/>
      <c r="T253" s="27"/>
      <c r="U253" s="27"/>
      <c r="V253" s="27"/>
      <c r="AE253" s="27"/>
      <c r="AF253" s="27"/>
      <c r="AG253" s="27"/>
      <c r="AH253" s="27"/>
      <c r="AI253" s="28"/>
      <c r="AJ253" s="29"/>
      <c r="AK253" s="29"/>
      <c r="AL253" s="27"/>
      <c r="AM253" s="27"/>
      <c r="AN253" s="27"/>
      <c r="AO253" s="27"/>
      <c r="AP253" s="27"/>
      <c r="AY253" s="27"/>
      <c r="AZ253" s="27"/>
      <c r="BA253" s="27"/>
      <c r="BB253" s="27"/>
      <c r="BC253" s="28"/>
      <c r="BD253" s="29"/>
      <c r="BE253" s="29"/>
      <c r="BF253" s="27"/>
      <c r="BG253" s="27"/>
      <c r="BH253" s="27"/>
      <c r="BI253" s="27"/>
      <c r="BJ253" s="27"/>
      <c r="BK253" s="27"/>
      <c r="BL253" s="27"/>
      <c r="BM253" s="27"/>
    </row>
    <row r="254">
      <c r="I254" s="27"/>
      <c r="J254" s="27"/>
      <c r="K254" s="27"/>
      <c r="L254" s="27"/>
      <c r="M254" s="28"/>
      <c r="N254" s="29"/>
      <c r="O254" s="29"/>
      <c r="P254" s="29"/>
      <c r="Q254" s="27"/>
      <c r="R254" s="27"/>
      <c r="S254" s="27"/>
      <c r="T254" s="27"/>
      <c r="U254" s="27"/>
      <c r="V254" s="27"/>
      <c r="AE254" s="27"/>
      <c r="AF254" s="27"/>
      <c r="AG254" s="27"/>
      <c r="AH254" s="27"/>
      <c r="AI254" s="28"/>
      <c r="AJ254" s="29"/>
      <c r="AK254" s="29"/>
      <c r="AL254" s="27"/>
      <c r="AM254" s="27"/>
      <c r="AN254" s="27"/>
      <c r="AO254" s="27"/>
      <c r="AP254" s="27"/>
      <c r="AY254" s="27"/>
      <c r="AZ254" s="27"/>
      <c r="BA254" s="27"/>
      <c r="BB254" s="27"/>
      <c r="BC254" s="28"/>
      <c r="BD254" s="29"/>
      <c r="BE254" s="29"/>
      <c r="BF254" s="27"/>
      <c r="BG254" s="27"/>
      <c r="BH254" s="27"/>
      <c r="BI254" s="27"/>
      <c r="BJ254" s="27"/>
      <c r="BK254" s="27"/>
      <c r="BL254" s="27"/>
      <c r="BM254" s="27"/>
    </row>
    <row r="255">
      <c r="I255" s="27"/>
      <c r="J255" s="27"/>
      <c r="K255" s="27"/>
      <c r="L255" s="27"/>
      <c r="M255" s="28"/>
      <c r="N255" s="29"/>
      <c r="O255" s="29"/>
      <c r="P255" s="29"/>
      <c r="Q255" s="27"/>
      <c r="R255" s="27"/>
      <c r="S255" s="27"/>
      <c r="T255" s="27"/>
      <c r="U255" s="27"/>
      <c r="V255" s="27"/>
      <c r="AE255" s="27"/>
      <c r="AF255" s="27"/>
      <c r="AG255" s="27"/>
      <c r="AH255" s="27"/>
      <c r="AI255" s="28"/>
      <c r="AJ255" s="29"/>
      <c r="AK255" s="29"/>
      <c r="AL255" s="27"/>
      <c r="AM255" s="27"/>
      <c r="AN255" s="27"/>
      <c r="AO255" s="27"/>
      <c r="AP255" s="27"/>
      <c r="AY255" s="27"/>
      <c r="AZ255" s="27"/>
      <c r="BA255" s="27"/>
      <c r="BB255" s="27"/>
      <c r="BC255" s="28"/>
      <c r="BD255" s="29"/>
      <c r="BE255" s="29"/>
      <c r="BF255" s="27"/>
      <c r="BG255" s="27"/>
      <c r="BH255" s="27"/>
      <c r="BI255" s="27"/>
      <c r="BJ255" s="27"/>
      <c r="BK255" s="27"/>
      <c r="BL255" s="27"/>
      <c r="BM255" s="27"/>
    </row>
    <row r="256">
      <c r="I256" s="27"/>
      <c r="J256" s="27"/>
      <c r="K256" s="27"/>
      <c r="L256" s="27"/>
      <c r="M256" s="28"/>
      <c r="N256" s="29"/>
      <c r="O256" s="29"/>
      <c r="P256" s="29"/>
      <c r="Q256" s="27"/>
      <c r="R256" s="27"/>
      <c r="S256" s="27"/>
      <c r="T256" s="27"/>
      <c r="U256" s="27"/>
      <c r="V256" s="27"/>
      <c r="AE256" s="27"/>
      <c r="AF256" s="27"/>
      <c r="AG256" s="27"/>
      <c r="AH256" s="27"/>
      <c r="AI256" s="28"/>
      <c r="AJ256" s="29"/>
      <c r="AK256" s="29"/>
      <c r="AL256" s="27"/>
      <c r="AM256" s="27"/>
      <c r="AN256" s="27"/>
      <c r="AO256" s="27"/>
      <c r="AP256" s="27"/>
      <c r="AY256" s="27"/>
      <c r="AZ256" s="27"/>
      <c r="BA256" s="27"/>
      <c r="BB256" s="27"/>
      <c r="BC256" s="28"/>
      <c r="BD256" s="29"/>
      <c r="BE256" s="29"/>
      <c r="BF256" s="27"/>
      <c r="BG256" s="27"/>
      <c r="BH256" s="27"/>
      <c r="BI256" s="27"/>
      <c r="BJ256" s="27"/>
      <c r="BK256" s="27"/>
      <c r="BL256" s="27"/>
      <c r="BM256" s="27"/>
    </row>
    <row r="257">
      <c r="I257" s="27"/>
      <c r="J257" s="27"/>
      <c r="K257" s="27"/>
      <c r="L257" s="27"/>
      <c r="M257" s="28"/>
      <c r="N257" s="29"/>
      <c r="O257" s="29"/>
      <c r="P257" s="29"/>
      <c r="Q257" s="27"/>
      <c r="R257" s="27"/>
      <c r="S257" s="27"/>
      <c r="T257" s="27"/>
      <c r="U257" s="27"/>
      <c r="V257" s="27"/>
      <c r="AE257" s="27"/>
      <c r="AF257" s="27"/>
      <c r="AG257" s="27"/>
      <c r="AH257" s="27"/>
      <c r="AI257" s="28"/>
      <c r="AJ257" s="29"/>
      <c r="AK257" s="29"/>
      <c r="AL257" s="27"/>
      <c r="AM257" s="27"/>
      <c r="AN257" s="27"/>
      <c r="AO257" s="27"/>
      <c r="AP257" s="27"/>
      <c r="AY257" s="27"/>
      <c r="AZ257" s="27"/>
      <c r="BA257" s="27"/>
      <c r="BB257" s="27"/>
      <c r="BC257" s="28"/>
      <c r="BD257" s="29"/>
      <c r="BE257" s="29"/>
      <c r="BF257" s="27"/>
      <c r="BG257" s="27"/>
      <c r="BH257" s="27"/>
      <c r="BI257" s="27"/>
      <c r="BJ257" s="27"/>
      <c r="BK257" s="27"/>
      <c r="BL257" s="27"/>
      <c r="BM257" s="27"/>
    </row>
    <row r="258">
      <c r="I258" s="27"/>
      <c r="J258" s="27"/>
      <c r="K258" s="27"/>
      <c r="L258" s="27"/>
      <c r="M258" s="28"/>
      <c r="N258" s="29"/>
      <c r="O258" s="29"/>
      <c r="P258" s="29"/>
      <c r="Q258" s="27"/>
      <c r="R258" s="27"/>
      <c r="S258" s="27"/>
      <c r="T258" s="27"/>
      <c r="U258" s="27"/>
      <c r="V258" s="27"/>
      <c r="AE258" s="27"/>
      <c r="AF258" s="27"/>
      <c r="AG258" s="27"/>
      <c r="AH258" s="27"/>
      <c r="AI258" s="28"/>
      <c r="AJ258" s="29"/>
      <c r="AK258" s="29"/>
      <c r="AL258" s="27"/>
      <c r="AM258" s="27"/>
      <c r="AN258" s="27"/>
      <c r="AO258" s="27"/>
      <c r="AP258" s="27"/>
      <c r="AY258" s="27"/>
      <c r="AZ258" s="27"/>
      <c r="BA258" s="27"/>
      <c r="BB258" s="27"/>
      <c r="BC258" s="28"/>
      <c r="BD258" s="29"/>
      <c r="BE258" s="29"/>
      <c r="BF258" s="27"/>
      <c r="BG258" s="27"/>
      <c r="BH258" s="27"/>
      <c r="BI258" s="27"/>
      <c r="BJ258" s="27"/>
      <c r="BK258" s="27"/>
      <c r="BL258" s="27"/>
      <c r="BM258" s="27"/>
    </row>
    <row r="259">
      <c r="I259" s="27"/>
      <c r="J259" s="27"/>
      <c r="K259" s="27"/>
      <c r="L259" s="27"/>
      <c r="M259" s="28"/>
      <c r="N259" s="29"/>
      <c r="O259" s="29"/>
      <c r="P259" s="29"/>
      <c r="Q259" s="27"/>
      <c r="R259" s="27"/>
      <c r="S259" s="27"/>
      <c r="T259" s="27"/>
      <c r="U259" s="27"/>
      <c r="V259" s="27"/>
      <c r="AE259" s="27"/>
      <c r="AF259" s="27"/>
      <c r="AG259" s="27"/>
      <c r="AH259" s="27"/>
      <c r="AI259" s="28"/>
      <c r="AJ259" s="29"/>
      <c r="AK259" s="29"/>
      <c r="AL259" s="27"/>
      <c r="AM259" s="27"/>
      <c r="AN259" s="27"/>
      <c r="AO259" s="27"/>
      <c r="AP259" s="27"/>
      <c r="AY259" s="27"/>
      <c r="AZ259" s="27"/>
      <c r="BA259" s="27"/>
      <c r="BB259" s="27"/>
      <c r="BC259" s="28"/>
      <c r="BD259" s="29"/>
      <c r="BE259" s="29"/>
      <c r="BF259" s="27"/>
      <c r="BG259" s="27"/>
      <c r="BH259" s="27"/>
      <c r="BI259" s="27"/>
      <c r="BJ259" s="27"/>
      <c r="BK259" s="27"/>
      <c r="BL259" s="27"/>
      <c r="BM259" s="27"/>
    </row>
    <row r="260">
      <c r="I260" s="27"/>
      <c r="J260" s="27"/>
      <c r="K260" s="27"/>
      <c r="L260" s="27"/>
      <c r="M260" s="28"/>
      <c r="N260" s="29"/>
      <c r="O260" s="29"/>
      <c r="P260" s="29"/>
      <c r="Q260" s="27"/>
      <c r="R260" s="27"/>
      <c r="S260" s="27"/>
      <c r="T260" s="27"/>
      <c r="U260" s="27"/>
      <c r="V260" s="27"/>
      <c r="AE260" s="27"/>
      <c r="AF260" s="27"/>
      <c r="AG260" s="27"/>
      <c r="AH260" s="27"/>
      <c r="AI260" s="28"/>
      <c r="AJ260" s="29"/>
      <c r="AK260" s="29"/>
      <c r="AL260" s="27"/>
      <c r="AM260" s="27"/>
      <c r="AN260" s="27"/>
      <c r="AO260" s="27"/>
      <c r="AP260" s="27"/>
      <c r="AY260" s="27"/>
      <c r="AZ260" s="27"/>
      <c r="BA260" s="27"/>
      <c r="BB260" s="27"/>
      <c r="BC260" s="28"/>
      <c r="BD260" s="29"/>
      <c r="BE260" s="29"/>
      <c r="BF260" s="27"/>
      <c r="BG260" s="27"/>
      <c r="BH260" s="27"/>
      <c r="BI260" s="27"/>
      <c r="BJ260" s="27"/>
      <c r="BK260" s="27"/>
      <c r="BL260" s="27"/>
      <c r="BM260" s="27"/>
    </row>
    <row r="261">
      <c r="I261" s="27"/>
      <c r="J261" s="27"/>
      <c r="K261" s="27"/>
      <c r="L261" s="27"/>
      <c r="M261" s="28"/>
      <c r="N261" s="29"/>
      <c r="O261" s="29"/>
      <c r="P261" s="29"/>
      <c r="Q261" s="27"/>
      <c r="R261" s="27"/>
      <c r="S261" s="27"/>
      <c r="T261" s="27"/>
      <c r="U261" s="27"/>
      <c r="V261" s="27"/>
      <c r="AE261" s="27"/>
      <c r="AF261" s="27"/>
      <c r="AG261" s="27"/>
      <c r="AH261" s="27"/>
      <c r="AI261" s="28"/>
      <c r="AJ261" s="29"/>
      <c r="AK261" s="29"/>
      <c r="AL261" s="27"/>
      <c r="AM261" s="27"/>
      <c r="AN261" s="27"/>
      <c r="AO261" s="27"/>
      <c r="AP261" s="27"/>
      <c r="AY261" s="27"/>
      <c r="AZ261" s="27"/>
      <c r="BA261" s="27"/>
      <c r="BB261" s="27"/>
      <c r="BC261" s="28"/>
      <c r="BD261" s="29"/>
      <c r="BE261" s="29"/>
      <c r="BF261" s="27"/>
      <c r="BG261" s="27"/>
      <c r="BH261" s="27"/>
      <c r="BI261" s="27"/>
      <c r="BJ261" s="27"/>
      <c r="BK261" s="27"/>
      <c r="BL261" s="27"/>
      <c r="BM261" s="27"/>
    </row>
    <row r="262">
      <c r="I262" s="27"/>
      <c r="J262" s="27"/>
      <c r="K262" s="27"/>
      <c r="L262" s="27"/>
      <c r="M262" s="28"/>
      <c r="N262" s="29"/>
      <c r="O262" s="29"/>
      <c r="P262" s="29"/>
      <c r="Q262" s="27"/>
      <c r="R262" s="27"/>
      <c r="S262" s="27"/>
      <c r="T262" s="27"/>
      <c r="U262" s="27"/>
      <c r="V262" s="27"/>
      <c r="AE262" s="27"/>
      <c r="AF262" s="27"/>
      <c r="AG262" s="27"/>
      <c r="AH262" s="27"/>
      <c r="AI262" s="28"/>
      <c r="AJ262" s="29"/>
      <c r="AK262" s="29"/>
      <c r="AL262" s="27"/>
      <c r="AM262" s="27"/>
      <c r="AN262" s="27"/>
      <c r="AO262" s="27"/>
      <c r="AP262" s="27"/>
      <c r="AY262" s="27"/>
      <c r="AZ262" s="27"/>
      <c r="BA262" s="27"/>
      <c r="BB262" s="27"/>
      <c r="BC262" s="28"/>
      <c r="BD262" s="29"/>
      <c r="BE262" s="29"/>
      <c r="BF262" s="27"/>
      <c r="BG262" s="27"/>
      <c r="BH262" s="27"/>
      <c r="BI262" s="27"/>
      <c r="BJ262" s="27"/>
      <c r="BK262" s="27"/>
      <c r="BL262" s="27"/>
      <c r="BM262" s="27"/>
    </row>
    <row r="263">
      <c r="I263" s="27"/>
      <c r="J263" s="27"/>
      <c r="K263" s="27"/>
      <c r="L263" s="27"/>
      <c r="M263" s="28"/>
      <c r="N263" s="29"/>
      <c r="O263" s="29"/>
      <c r="P263" s="29"/>
      <c r="Q263" s="27"/>
      <c r="R263" s="27"/>
      <c r="S263" s="27"/>
      <c r="T263" s="27"/>
      <c r="U263" s="27"/>
      <c r="V263" s="27"/>
      <c r="AE263" s="27"/>
      <c r="AF263" s="27"/>
      <c r="AG263" s="27"/>
      <c r="AH263" s="27"/>
      <c r="AI263" s="28"/>
      <c r="AJ263" s="29"/>
      <c r="AK263" s="29"/>
      <c r="AL263" s="27"/>
      <c r="AM263" s="27"/>
      <c r="AN263" s="27"/>
      <c r="AO263" s="27"/>
      <c r="AP263" s="27"/>
      <c r="AY263" s="27"/>
      <c r="AZ263" s="27"/>
      <c r="BA263" s="27"/>
      <c r="BB263" s="27"/>
      <c r="BC263" s="28"/>
      <c r="BD263" s="29"/>
      <c r="BE263" s="29"/>
      <c r="BF263" s="27"/>
      <c r="BG263" s="27"/>
      <c r="BH263" s="27"/>
      <c r="BI263" s="27"/>
      <c r="BJ263" s="27"/>
      <c r="BK263" s="27"/>
      <c r="BL263" s="27"/>
      <c r="BM263" s="27"/>
    </row>
    <row r="264">
      <c r="I264" s="27"/>
      <c r="J264" s="27"/>
      <c r="K264" s="27"/>
      <c r="L264" s="27"/>
      <c r="M264" s="28"/>
      <c r="N264" s="29"/>
      <c r="O264" s="29"/>
      <c r="P264" s="29"/>
      <c r="Q264" s="27"/>
      <c r="R264" s="27"/>
      <c r="S264" s="27"/>
      <c r="T264" s="27"/>
      <c r="U264" s="27"/>
      <c r="V264" s="27"/>
      <c r="AE264" s="27"/>
      <c r="AF264" s="27"/>
      <c r="AG264" s="27"/>
      <c r="AH264" s="27"/>
      <c r="AI264" s="28"/>
      <c r="AJ264" s="29"/>
      <c r="AK264" s="29"/>
      <c r="AL264" s="27"/>
      <c r="AM264" s="27"/>
      <c r="AN264" s="27"/>
      <c r="AO264" s="27"/>
      <c r="AP264" s="27"/>
      <c r="AY264" s="27"/>
      <c r="AZ264" s="27"/>
      <c r="BA264" s="27"/>
      <c r="BB264" s="27"/>
      <c r="BC264" s="28"/>
      <c r="BD264" s="29"/>
      <c r="BE264" s="29"/>
      <c r="BF264" s="27"/>
      <c r="BG264" s="27"/>
      <c r="BH264" s="27"/>
      <c r="BI264" s="27"/>
      <c r="BJ264" s="27"/>
      <c r="BK264" s="27"/>
      <c r="BL264" s="27"/>
      <c r="BM264" s="27"/>
    </row>
    <row r="265">
      <c r="I265" s="27"/>
      <c r="J265" s="27"/>
      <c r="K265" s="27"/>
      <c r="L265" s="27"/>
      <c r="M265" s="28"/>
      <c r="N265" s="29"/>
      <c r="O265" s="29"/>
      <c r="P265" s="29"/>
      <c r="Q265" s="27"/>
      <c r="R265" s="27"/>
      <c r="S265" s="27"/>
      <c r="T265" s="27"/>
      <c r="U265" s="27"/>
      <c r="V265" s="27"/>
      <c r="AE265" s="27"/>
      <c r="AF265" s="27"/>
      <c r="AG265" s="27"/>
      <c r="AH265" s="27"/>
      <c r="AI265" s="28"/>
      <c r="AJ265" s="29"/>
      <c r="AK265" s="29"/>
      <c r="AL265" s="27"/>
      <c r="AM265" s="27"/>
      <c r="AN265" s="27"/>
      <c r="AO265" s="27"/>
      <c r="AP265" s="27"/>
      <c r="AY265" s="27"/>
      <c r="AZ265" s="27"/>
      <c r="BA265" s="27"/>
      <c r="BB265" s="27"/>
      <c r="BC265" s="28"/>
      <c r="BD265" s="29"/>
      <c r="BE265" s="29"/>
      <c r="BF265" s="27"/>
      <c r="BG265" s="27"/>
      <c r="BH265" s="27"/>
      <c r="BI265" s="27"/>
      <c r="BJ265" s="27"/>
      <c r="BK265" s="27"/>
      <c r="BL265" s="27"/>
      <c r="BM265" s="27"/>
    </row>
    <row r="266">
      <c r="I266" s="27"/>
      <c r="J266" s="27"/>
      <c r="K266" s="27"/>
      <c r="L266" s="27"/>
      <c r="M266" s="28"/>
      <c r="N266" s="29"/>
      <c r="O266" s="29"/>
      <c r="P266" s="29"/>
      <c r="Q266" s="27"/>
      <c r="R266" s="27"/>
      <c r="S266" s="27"/>
      <c r="T266" s="27"/>
      <c r="U266" s="27"/>
      <c r="V266" s="27"/>
      <c r="AE266" s="27"/>
      <c r="AF266" s="27"/>
      <c r="AG266" s="27"/>
      <c r="AH266" s="27"/>
      <c r="AI266" s="28"/>
      <c r="AJ266" s="29"/>
      <c r="AK266" s="29"/>
      <c r="AL266" s="27"/>
      <c r="AM266" s="27"/>
      <c r="AN266" s="27"/>
      <c r="AO266" s="27"/>
      <c r="AP266" s="27"/>
      <c r="AY266" s="27"/>
      <c r="AZ266" s="27"/>
      <c r="BA266" s="27"/>
      <c r="BB266" s="27"/>
      <c r="BC266" s="28"/>
      <c r="BD266" s="29"/>
      <c r="BE266" s="29"/>
      <c r="BF266" s="27"/>
      <c r="BG266" s="27"/>
      <c r="BH266" s="27"/>
      <c r="BI266" s="27"/>
      <c r="BJ266" s="27"/>
      <c r="BK266" s="27"/>
      <c r="BL266" s="27"/>
      <c r="BM266" s="27"/>
    </row>
    <row r="267">
      <c r="I267" s="27"/>
      <c r="J267" s="27"/>
      <c r="K267" s="27"/>
      <c r="L267" s="27"/>
      <c r="M267" s="28"/>
      <c r="N267" s="29"/>
      <c r="O267" s="29"/>
      <c r="P267" s="29"/>
      <c r="Q267" s="27"/>
      <c r="R267" s="27"/>
      <c r="S267" s="27"/>
      <c r="T267" s="27"/>
      <c r="U267" s="27"/>
      <c r="V267" s="27"/>
      <c r="AE267" s="27"/>
      <c r="AF267" s="27"/>
      <c r="AG267" s="27"/>
      <c r="AH267" s="27"/>
      <c r="AI267" s="28"/>
      <c r="AJ267" s="29"/>
      <c r="AK267" s="29"/>
      <c r="AL267" s="27"/>
      <c r="AM267" s="27"/>
      <c r="AN267" s="27"/>
      <c r="AO267" s="27"/>
      <c r="AP267" s="27"/>
      <c r="AY267" s="27"/>
      <c r="AZ267" s="27"/>
      <c r="BA267" s="27"/>
      <c r="BB267" s="27"/>
      <c r="BC267" s="28"/>
      <c r="BD267" s="29"/>
      <c r="BE267" s="29"/>
      <c r="BF267" s="27"/>
      <c r="BG267" s="27"/>
      <c r="BH267" s="27"/>
      <c r="BI267" s="27"/>
      <c r="BJ267" s="27"/>
      <c r="BK267" s="27"/>
      <c r="BL267" s="27"/>
      <c r="BM267" s="27"/>
    </row>
    <row r="268">
      <c r="I268" s="27"/>
      <c r="J268" s="27"/>
      <c r="K268" s="27"/>
      <c r="L268" s="27"/>
      <c r="M268" s="28"/>
      <c r="N268" s="29"/>
      <c r="O268" s="29"/>
      <c r="P268" s="29"/>
      <c r="Q268" s="27"/>
      <c r="R268" s="27"/>
      <c r="S268" s="27"/>
      <c r="T268" s="27"/>
      <c r="U268" s="27"/>
      <c r="V268" s="27"/>
      <c r="AE268" s="27"/>
      <c r="AF268" s="27"/>
      <c r="AG268" s="27"/>
      <c r="AH268" s="27"/>
      <c r="AI268" s="28"/>
      <c r="AJ268" s="29"/>
      <c r="AK268" s="29"/>
      <c r="AL268" s="27"/>
      <c r="AM268" s="27"/>
      <c r="AN268" s="27"/>
      <c r="AO268" s="27"/>
      <c r="AP268" s="27"/>
      <c r="AY268" s="27"/>
      <c r="AZ268" s="27"/>
      <c r="BA268" s="27"/>
      <c r="BB268" s="27"/>
      <c r="BC268" s="28"/>
      <c r="BD268" s="29"/>
      <c r="BE268" s="29"/>
      <c r="BF268" s="27"/>
      <c r="BG268" s="27"/>
      <c r="BH268" s="27"/>
      <c r="BI268" s="27"/>
      <c r="BJ268" s="27"/>
      <c r="BK268" s="27"/>
      <c r="BL268" s="27"/>
      <c r="BM268" s="27"/>
    </row>
    <row r="269">
      <c r="I269" s="27"/>
      <c r="J269" s="27"/>
      <c r="K269" s="27"/>
      <c r="L269" s="27"/>
      <c r="M269" s="28"/>
      <c r="N269" s="29"/>
      <c r="O269" s="29"/>
      <c r="P269" s="29"/>
      <c r="Q269" s="27"/>
      <c r="R269" s="27"/>
      <c r="S269" s="27"/>
      <c r="T269" s="27"/>
      <c r="U269" s="27"/>
      <c r="V269" s="27"/>
      <c r="AE269" s="27"/>
      <c r="AF269" s="27"/>
      <c r="AG269" s="27"/>
      <c r="AH269" s="27"/>
      <c r="AI269" s="28"/>
      <c r="AJ269" s="29"/>
      <c r="AK269" s="29"/>
      <c r="AL269" s="27"/>
      <c r="AM269" s="27"/>
      <c r="AN269" s="27"/>
      <c r="AO269" s="27"/>
      <c r="AP269" s="27"/>
      <c r="AY269" s="27"/>
      <c r="AZ269" s="27"/>
      <c r="BA269" s="27"/>
      <c r="BB269" s="27"/>
      <c r="BC269" s="28"/>
      <c r="BD269" s="29"/>
      <c r="BE269" s="29"/>
      <c r="BF269" s="27"/>
      <c r="BG269" s="27"/>
      <c r="BH269" s="27"/>
      <c r="BI269" s="27"/>
      <c r="BJ269" s="27"/>
      <c r="BK269" s="27"/>
      <c r="BL269" s="27"/>
      <c r="BM269" s="27"/>
    </row>
    <row r="270">
      <c r="I270" s="27"/>
      <c r="J270" s="27"/>
      <c r="K270" s="27"/>
      <c r="L270" s="27"/>
      <c r="M270" s="28"/>
      <c r="N270" s="29"/>
      <c r="O270" s="29"/>
      <c r="P270" s="29"/>
      <c r="Q270" s="27"/>
      <c r="R270" s="27"/>
      <c r="S270" s="27"/>
      <c r="T270" s="27"/>
      <c r="U270" s="27"/>
      <c r="V270" s="27"/>
      <c r="AE270" s="27"/>
      <c r="AF270" s="27"/>
      <c r="AG270" s="27"/>
      <c r="AH270" s="27"/>
      <c r="AI270" s="28"/>
      <c r="AJ270" s="29"/>
      <c r="AK270" s="29"/>
      <c r="AL270" s="27"/>
      <c r="AM270" s="27"/>
      <c r="AN270" s="27"/>
      <c r="AO270" s="27"/>
      <c r="AP270" s="27"/>
      <c r="AY270" s="27"/>
      <c r="AZ270" s="27"/>
      <c r="BA270" s="27"/>
      <c r="BB270" s="27"/>
      <c r="BC270" s="28"/>
      <c r="BD270" s="29"/>
      <c r="BE270" s="29"/>
      <c r="BF270" s="27"/>
      <c r="BG270" s="27"/>
      <c r="BH270" s="27"/>
      <c r="BI270" s="27"/>
      <c r="BJ270" s="27"/>
      <c r="BK270" s="27"/>
      <c r="BL270" s="27"/>
      <c r="BM270" s="27"/>
    </row>
    <row r="271">
      <c r="I271" s="27"/>
      <c r="J271" s="27"/>
      <c r="K271" s="27"/>
      <c r="L271" s="27"/>
      <c r="M271" s="28"/>
      <c r="N271" s="29"/>
      <c r="O271" s="29"/>
      <c r="P271" s="29"/>
      <c r="Q271" s="27"/>
      <c r="R271" s="27"/>
      <c r="S271" s="27"/>
      <c r="T271" s="27"/>
      <c r="U271" s="27"/>
      <c r="V271" s="27"/>
      <c r="AE271" s="27"/>
      <c r="AF271" s="27"/>
      <c r="AG271" s="27"/>
      <c r="AH271" s="27"/>
      <c r="AI271" s="28"/>
      <c r="AJ271" s="29"/>
      <c r="AK271" s="29"/>
      <c r="AL271" s="27"/>
      <c r="AM271" s="27"/>
      <c r="AN271" s="27"/>
      <c r="AO271" s="27"/>
      <c r="AP271" s="27"/>
      <c r="AY271" s="27"/>
      <c r="AZ271" s="27"/>
      <c r="BA271" s="27"/>
      <c r="BB271" s="27"/>
      <c r="BC271" s="28"/>
      <c r="BD271" s="29"/>
      <c r="BE271" s="29"/>
      <c r="BF271" s="27"/>
      <c r="BG271" s="27"/>
      <c r="BH271" s="27"/>
      <c r="BI271" s="27"/>
      <c r="BJ271" s="27"/>
      <c r="BK271" s="27"/>
      <c r="BL271" s="27"/>
      <c r="BM271" s="27"/>
    </row>
    <row r="272">
      <c r="I272" s="27"/>
      <c r="J272" s="27"/>
      <c r="K272" s="27"/>
      <c r="L272" s="27"/>
      <c r="M272" s="28"/>
      <c r="N272" s="29"/>
      <c r="O272" s="29"/>
      <c r="P272" s="29"/>
      <c r="Q272" s="27"/>
      <c r="R272" s="27"/>
      <c r="S272" s="27"/>
      <c r="T272" s="27"/>
      <c r="U272" s="27"/>
      <c r="V272" s="27"/>
      <c r="AE272" s="27"/>
      <c r="AF272" s="27"/>
      <c r="AG272" s="27"/>
      <c r="AH272" s="27"/>
      <c r="AI272" s="28"/>
      <c r="AJ272" s="29"/>
      <c r="AK272" s="29"/>
      <c r="AL272" s="27"/>
      <c r="AM272" s="27"/>
      <c r="AN272" s="27"/>
      <c r="AO272" s="27"/>
      <c r="AP272" s="27"/>
      <c r="AY272" s="27"/>
      <c r="AZ272" s="27"/>
      <c r="BA272" s="27"/>
      <c r="BB272" s="27"/>
      <c r="BC272" s="28"/>
      <c r="BD272" s="29"/>
      <c r="BE272" s="29"/>
      <c r="BF272" s="27"/>
      <c r="BG272" s="27"/>
      <c r="BH272" s="27"/>
      <c r="BI272" s="27"/>
      <c r="BJ272" s="27"/>
      <c r="BK272" s="27"/>
      <c r="BL272" s="27"/>
      <c r="BM272" s="27"/>
    </row>
    <row r="273">
      <c r="I273" s="27"/>
      <c r="J273" s="27"/>
      <c r="K273" s="27"/>
      <c r="L273" s="27"/>
      <c r="M273" s="28"/>
      <c r="N273" s="29"/>
      <c r="O273" s="29"/>
      <c r="P273" s="29"/>
      <c r="Q273" s="27"/>
      <c r="R273" s="27"/>
      <c r="S273" s="27"/>
      <c r="T273" s="27"/>
      <c r="U273" s="27"/>
      <c r="V273" s="27"/>
      <c r="AE273" s="27"/>
      <c r="AF273" s="27"/>
      <c r="AG273" s="27"/>
      <c r="AH273" s="27"/>
      <c r="AI273" s="28"/>
      <c r="AJ273" s="29"/>
      <c r="AK273" s="29"/>
      <c r="AL273" s="27"/>
      <c r="AM273" s="27"/>
      <c r="AN273" s="27"/>
      <c r="AO273" s="27"/>
      <c r="AP273" s="27"/>
      <c r="AY273" s="27"/>
      <c r="AZ273" s="27"/>
      <c r="BA273" s="27"/>
      <c r="BB273" s="27"/>
      <c r="BC273" s="28"/>
      <c r="BD273" s="29"/>
      <c r="BE273" s="29"/>
      <c r="BF273" s="27"/>
      <c r="BG273" s="27"/>
      <c r="BH273" s="27"/>
      <c r="BI273" s="27"/>
      <c r="BJ273" s="27"/>
      <c r="BK273" s="27"/>
      <c r="BL273" s="27"/>
      <c r="BM273" s="27"/>
    </row>
    <row r="274">
      <c r="I274" s="27"/>
      <c r="J274" s="27"/>
      <c r="K274" s="27"/>
      <c r="L274" s="27"/>
      <c r="M274" s="28"/>
      <c r="N274" s="29"/>
      <c r="O274" s="29"/>
      <c r="P274" s="29"/>
      <c r="Q274" s="27"/>
      <c r="R274" s="27"/>
      <c r="S274" s="27"/>
      <c r="T274" s="27"/>
      <c r="U274" s="27"/>
      <c r="V274" s="27"/>
      <c r="AE274" s="27"/>
      <c r="AF274" s="27"/>
      <c r="AG274" s="27"/>
      <c r="AH274" s="27"/>
      <c r="AI274" s="28"/>
      <c r="AJ274" s="29"/>
      <c r="AK274" s="29"/>
      <c r="AL274" s="27"/>
      <c r="AM274" s="27"/>
      <c r="AN274" s="27"/>
      <c r="AO274" s="27"/>
      <c r="AP274" s="27"/>
      <c r="AY274" s="27"/>
      <c r="AZ274" s="27"/>
      <c r="BA274" s="27"/>
      <c r="BB274" s="27"/>
      <c r="BC274" s="28"/>
      <c r="BD274" s="29"/>
      <c r="BE274" s="29"/>
      <c r="BF274" s="27"/>
      <c r="BG274" s="27"/>
      <c r="BH274" s="27"/>
      <c r="BI274" s="27"/>
      <c r="BJ274" s="27"/>
      <c r="BK274" s="27"/>
      <c r="BL274" s="27"/>
      <c r="BM274" s="27"/>
    </row>
    <row r="275">
      <c r="I275" s="27"/>
      <c r="J275" s="27"/>
      <c r="K275" s="27"/>
      <c r="L275" s="27"/>
      <c r="M275" s="28"/>
      <c r="N275" s="29"/>
      <c r="O275" s="29"/>
      <c r="P275" s="29"/>
      <c r="Q275" s="27"/>
      <c r="R275" s="27"/>
      <c r="S275" s="27"/>
      <c r="T275" s="27"/>
      <c r="U275" s="27"/>
      <c r="V275" s="27"/>
      <c r="AE275" s="27"/>
      <c r="AF275" s="27"/>
      <c r="AG275" s="27"/>
      <c r="AH275" s="27"/>
      <c r="AI275" s="28"/>
      <c r="AJ275" s="29"/>
      <c r="AK275" s="29"/>
      <c r="AL275" s="27"/>
      <c r="AM275" s="27"/>
      <c r="AN275" s="27"/>
      <c r="AO275" s="27"/>
      <c r="AP275" s="27"/>
      <c r="AY275" s="27"/>
      <c r="AZ275" s="27"/>
      <c r="BA275" s="27"/>
      <c r="BB275" s="27"/>
      <c r="BC275" s="28"/>
      <c r="BD275" s="29"/>
      <c r="BE275" s="29"/>
      <c r="BF275" s="27"/>
      <c r="BG275" s="27"/>
      <c r="BH275" s="27"/>
      <c r="BI275" s="27"/>
      <c r="BJ275" s="27"/>
      <c r="BK275" s="27"/>
      <c r="BL275" s="27"/>
      <c r="BM275" s="27"/>
    </row>
    <row r="276">
      <c r="I276" s="27"/>
      <c r="J276" s="27"/>
      <c r="K276" s="27"/>
      <c r="L276" s="27"/>
      <c r="M276" s="28"/>
      <c r="N276" s="29"/>
      <c r="O276" s="29"/>
      <c r="P276" s="29"/>
      <c r="Q276" s="27"/>
      <c r="R276" s="27"/>
      <c r="S276" s="27"/>
      <c r="T276" s="27"/>
      <c r="U276" s="27"/>
      <c r="V276" s="27"/>
      <c r="AE276" s="27"/>
      <c r="AF276" s="27"/>
      <c r="AG276" s="27"/>
      <c r="AH276" s="27"/>
      <c r="AI276" s="28"/>
      <c r="AJ276" s="29"/>
      <c r="AK276" s="29"/>
      <c r="AL276" s="27"/>
      <c r="AM276" s="27"/>
      <c r="AN276" s="27"/>
      <c r="AO276" s="27"/>
      <c r="AP276" s="27"/>
      <c r="AY276" s="27"/>
      <c r="AZ276" s="27"/>
      <c r="BA276" s="27"/>
      <c r="BB276" s="27"/>
      <c r="BC276" s="28"/>
      <c r="BD276" s="29"/>
      <c r="BE276" s="29"/>
      <c r="BF276" s="27"/>
      <c r="BG276" s="27"/>
      <c r="BH276" s="27"/>
      <c r="BI276" s="27"/>
      <c r="BJ276" s="27"/>
      <c r="BK276" s="27"/>
      <c r="BL276" s="27"/>
      <c r="BM276" s="27"/>
    </row>
    <row r="277">
      <c r="I277" s="27"/>
      <c r="J277" s="27"/>
      <c r="K277" s="27"/>
      <c r="L277" s="27"/>
      <c r="M277" s="28"/>
      <c r="N277" s="29"/>
      <c r="O277" s="29"/>
      <c r="P277" s="29"/>
      <c r="Q277" s="27"/>
      <c r="R277" s="27"/>
      <c r="S277" s="27"/>
      <c r="T277" s="27"/>
      <c r="U277" s="27"/>
      <c r="V277" s="27"/>
      <c r="AE277" s="27"/>
      <c r="AF277" s="27"/>
      <c r="AG277" s="27"/>
      <c r="AH277" s="27"/>
      <c r="AI277" s="28"/>
      <c r="AJ277" s="29"/>
      <c r="AK277" s="29"/>
      <c r="AL277" s="27"/>
      <c r="AM277" s="27"/>
      <c r="AN277" s="27"/>
      <c r="AO277" s="27"/>
      <c r="AP277" s="27"/>
      <c r="AY277" s="27"/>
      <c r="AZ277" s="27"/>
      <c r="BA277" s="27"/>
      <c r="BB277" s="27"/>
      <c r="BC277" s="28"/>
      <c r="BD277" s="29"/>
      <c r="BE277" s="29"/>
      <c r="BF277" s="27"/>
      <c r="BG277" s="27"/>
      <c r="BH277" s="27"/>
      <c r="BI277" s="27"/>
      <c r="BJ277" s="27"/>
      <c r="BK277" s="27"/>
      <c r="BL277" s="27"/>
      <c r="BM277" s="27"/>
    </row>
    <row r="278">
      <c r="I278" s="27"/>
      <c r="J278" s="27"/>
      <c r="K278" s="27"/>
      <c r="L278" s="27"/>
      <c r="M278" s="28"/>
      <c r="N278" s="29"/>
      <c r="O278" s="29"/>
      <c r="P278" s="29"/>
      <c r="Q278" s="27"/>
      <c r="R278" s="27"/>
      <c r="S278" s="27"/>
      <c r="T278" s="27"/>
      <c r="U278" s="27"/>
      <c r="V278" s="27"/>
      <c r="AE278" s="27"/>
      <c r="AF278" s="27"/>
      <c r="AG278" s="27"/>
      <c r="AH278" s="27"/>
      <c r="AI278" s="28"/>
      <c r="AJ278" s="29"/>
      <c r="AK278" s="29"/>
      <c r="AL278" s="27"/>
      <c r="AM278" s="27"/>
      <c r="AN278" s="27"/>
      <c r="AO278" s="27"/>
      <c r="AP278" s="27"/>
      <c r="AY278" s="27"/>
      <c r="AZ278" s="27"/>
      <c r="BA278" s="27"/>
      <c r="BB278" s="27"/>
      <c r="BC278" s="28"/>
      <c r="BD278" s="29"/>
      <c r="BE278" s="29"/>
      <c r="BF278" s="27"/>
      <c r="BG278" s="27"/>
      <c r="BH278" s="27"/>
      <c r="BI278" s="27"/>
      <c r="BJ278" s="27"/>
      <c r="BK278" s="27"/>
      <c r="BL278" s="27"/>
      <c r="BM278" s="27"/>
    </row>
    <row r="279">
      <c r="I279" s="27"/>
      <c r="J279" s="27"/>
      <c r="K279" s="27"/>
      <c r="L279" s="27"/>
      <c r="M279" s="28"/>
      <c r="N279" s="29"/>
      <c r="O279" s="29"/>
      <c r="P279" s="29"/>
      <c r="Q279" s="27"/>
      <c r="R279" s="27"/>
      <c r="S279" s="27"/>
      <c r="T279" s="27"/>
      <c r="U279" s="27"/>
      <c r="V279" s="27"/>
      <c r="AE279" s="27"/>
      <c r="AF279" s="27"/>
      <c r="AG279" s="27"/>
      <c r="AH279" s="27"/>
      <c r="AI279" s="28"/>
      <c r="AJ279" s="29"/>
      <c r="AK279" s="29"/>
      <c r="AL279" s="27"/>
      <c r="AM279" s="27"/>
      <c r="AN279" s="27"/>
      <c r="AO279" s="27"/>
      <c r="AP279" s="27"/>
      <c r="AY279" s="27"/>
      <c r="AZ279" s="27"/>
      <c r="BA279" s="27"/>
      <c r="BB279" s="27"/>
      <c r="BC279" s="28"/>
      <c r="BD279" s="29"/>
      <c r="BE279" s="29"/>
      <c r="BF279" s="27"/>
      <c r="BG279" s="27"/>
      <c r="BH279" s="27"/>
      <c r="BI279" s="27"/>
      <c r="BJ279" s="27"/>
      <c r="BK279" s="27"/>
      <c r="BL279" s="27"/>
      <c r="BM279" s="27"/>
    </row>
    <row r="280">
      <c r="I280" s="27"/>
      <c r="J280" s="27"/>
      <c r="K280" s="27"/>
      <c r="L280" s="27"/>
      <c r="M280" s="28"/>
      <c r="N280" s="29"/>
      <c r="O280" s="29"/>
      <c r="P280" s="29"/>
      <c r="Q280" s="27"/>
      <c r="R280" s="27"/>
      <c r="S280" s="27"/>
      <c r="T280" s="27"/>
      <c r="U280" s="27"/>
      <c r="V280" s="27"/>
      <c r="AE280" s="27"/>
      <c r="AF280" s="27"/>
      <c r="AG280" s="27"/>
      <c r="AH280" s="27"/>
      <c r="AI280" s="28"/>
      <c r="AJ280" s="29"/>
      <c r="AK280" s="29"/>
      <c r="AL280" s="27"/>
      <c r="AM280" s="27"/>
      <c r="AN280" s="27"/>
      <c r="AO280" s="27"/>
      <c r="AP280" s="27"/>
      <c r="AY280" s="27"/>
      <c r="AZ280" s="27"/>
      <c r="BA280" s="27"/>
      <c r="BB280" s="27"/>
      <c r="BC280" s="28"/>
      <c r="BD280" s="29"/>
      <c r="BE280" s="29"/>
      <c r="BF280" s="27"/>
      <c r="BG280" s="27"/>
      <c r="BH280" s="27"/>
      <c r="BI280" s="27"/>
      <c r="BJ280" s="27"/>
      <c r="BK280" s="27"/>
      <c r="BL280" s="27"/>
      <c r="BM280" s="27"/>
    </row>
    <row r="281">
      <c r="I281" s="27"/>
      <c r="J281" s="27"/>
      <c r="K281" s="27"/>
      <c r="L281" s="27"/>
      <c r="M281" s="28"/>
      <c r="N281" s="29"/>
      <c r="O281" s="29"/>
      <c r="P281" s="29"/>
      <c r="Q281" s="27"/>
      <c r="R281" s="27"/>
      <c r="S281" s="27"/>
      <c r="T281" s="27"/>
      <c r="U281" s="27"/>
      <c r="V281" s="27"/>
      <c r="AE281" s="27"/>
      <c r="AF281" s="27"/>
      <c r="AG281" s="27"/>
      <c r="AH281" s="27"/>
      <c r="AI281" s="28"/>
      <c r="AJ281" s="29"/>
      <c r="AK281" s="29"/>
      <c r="AL281" s="27"/>
      <c r="AM281" s="27"/>
      <c r="AN281" s="27"/>
      <c r="AO281" s="27"/>
      <c r="AP281" s="27"/>
      <c r="AY281" s="27"/>
      <c r="AZ281" s="27"/>
      <c r="BA281" s="27"/>
      <c r="BB281" s="27"/>
      <c r="BC281" s="28"/>
      <c r="BD281" s="29"/>
      <c r="BE281" s="29"/>
      <c r="BF281" s="27"/>
      <c r="BG281" s="27"/>
      <c r="BH281" s="27"/>
      <c r="BI281" s="27"/>
      <c r="BJ281" s="27"/>
      <c r="BK281" s="27"/>
      <c r="BL281" s="27"/>
      <c r="BM281" s="27"/>
    </row>
    <row r="282">
      <c r="I282" s="27"/>
      <c r="J282" s="27"/>
      <c r="K282" s="27"/>
      <c r="L282" s="27"/>
      <c r="M282" s="28"/>
      <c r="N282" s="29"/>
      <c r="O282" s="29"/>
      <c r="P282" s="29"/>
      <c r="Q282" s="27"/>
      <c r="R282" s="27"/>
      <c r="S282" s="27"/>
      <c r="T282" s="27"/>
      <c r="U282" s="27"/>
      <c r="V282" s="27"/>
      <c r="AE282" s="27"/>
      <c r="AF282" s="27"/>
      <c r="AG282" s="27"/>
      <c r="AH282" s="27"/>
      <c r="AI282" s="28"/>
      <c r="AJ282" s="29"/>
      <c r="AK282" s="29"/>
      <c r="AL282" s="27"/>
      <c r="AM282" s="27"/>
      <c r="AN282" s="27"/>
      <c r="AO282" s="27"/>
      <c r="AP282" s="27"/>
      <c r="AY282" s="27"/>
      <c r="AZ282" s="27"/>
      <c r="BA282" s="27"/>
      <c r="BB282" s="27"/>
      <c r="BC282" s="28"/>
      <c r="BD282" s="29"/>
      <c r="BE282" s="29"/>
      <c r="BF282" s="27"/>
      <c r="BG282" s="27"/>
      <c r="BH282" s="27"/>
      <c r="BI282" s="27"/>
      <c r="BJ282" s="27"/>
      <c r="BK282" s="27"/>
      <c r="BL282" s="27"/>
      <c r="BM282" s="27"/>
    </row>
    <row r="283">
      <c r="I283" s="27"/>
      <c r="J283" s="27"/>
      <c r="K283" s="27"/>
      <c r="L283" s="27"/>
      <c r="M283" s="28"/>
      <c r="N283" s="29"/>
      <c r="O283" s="29"/>
      <c r="P283" s="29"/>
      <c r="Q283" s="27"/>
      <c r="R283" s="27"/>
      <c r="S283" s="27"/>
      <c r="T283" s="27"/>
      <c r="U283" s="27"/>
      <c r="V283" s="27"/>
      <c r="AE283" s="27"/>
      <c r="AF283" s="27"/>
      <c r="AG283" s="27"/>
      <c r="AH283" s="27"/>
      <c r="AI283" s="28"/>
      <c r="AJ283" s="29"/>
      <c r="AK283" s="29"/>
      <c r="AL283" s="27"/>
      <c r="AM283" s="27"/>
      <c r="AN283" s="27"/>
      <c r="AO283" s="27"/>
      <c r="AP283" s="27"/>
      <c r="AY283" s="27"/>
      <c r="AZ283" s="27"/>
      <c r="BA283" s="27"/>
      <c r="BB283" s="27"/>
      <c r="BC283" s="28"/>
      <c r="BD283" s="29"/>
      <c r="BE283" s="29"/>
      <c r="BF283" s="27"/>
      <c r="BG283" s="27"/>
      <c r="BH283" s="27"/>
      <c r="BI283" s="27"/>
      <c r="BJ283" s="27"/>
      <c r="BK283" s="27"/>
      <c r="BL283" s="27"/>
      <c r="BM283" s="27"/>
    </row>
    <row r="284">
      <c r="I284" s="27"/>
      <c r="J284" s="27"/>
      <c r="K284" s="27"/>
      <c r="L284" s="27"/>
      <c r="M284" s="28"/>
      <c r="N284" s="29"/>
      <c r="O284" s="29"/>
      <c r="P284" s="29"/>
      <c r="Q284" s="27"/>
      <c r="R284" s="27"/>
      <c r="S284" s="27"/>
      <c r="T284" s="27"/>
      <c r="U284" s="27"/>
      <c r="V284" s="27"/>
      <c r="AE284" s="27"/>
      <c r="AF284" s="27"/>
      <c r="AG284" s="27"/>
      <c r="AH284" s="27"/>
      <c r="AI284" s="28"/>
      <c r="AJ284" s="29"/>
      <c r="AK284" s="29"/>
      <c r="AL284" s="27"/>
      <c r="AM284" s="27"/>
      <c r="AN284" s="27"/>
      <c r="AO284" s="27"/>
      <c r="AP284" s="27"/>
      <c r="AY284" s="27"/>
      <c r="AZ284" s="27"/>
      <c r="BA284" s="27"/>
      <c r="BB284" s="27"/>
      <c r="BC284" s="28"/>
      <c r="BD284" s="29"/>
      <c r="BE284" s="29"/>
      <c r="BF284" s="27"/>
      <c r="BG284" s="27"/>
      <c r="BH284" s="27"/>
      <c r="BI284" s="27"/>
      <c r="BJ284" s="27"/>
      <c r="BK284" s="27"/>
      <c r="BL284" s="27"/>
      <c r="BM284" s="27"/>
    </row>
    <row r="285">
      <c r="I285" s="27"/>
      <c r="J285" s="27"/>
      <c r="K285" s="27"/>
      <c r="L285" s="27"/>
      <c r="M285" s="28"/>
      <c r="N285" s="29"/>
      <c r="O285" s="29"/>
      <c r="P285" s="29"/>
      <c r="Q285" s="27"/>
      <c r="R285" s="27"/>
      <c r="S285" s="27"/>
      <c r="T285" s="27"/>
      <c r="U285" s="27"/>
      <c r="V285" s="27"/>
      <c r="AE285" s="27"/>
      <c r="AF285" s="27"/>
      <c r="AG285" s="27"/>
      <c r="AH285" s="27"/>
      <c r="AI285" s="28"/>
      <c r="AJ285" s="29"/>
      <c r="AK285" s="29"/>
      <c r="AL285" s="27"/>
      <c r="AM285" s="27"/>
      <c r="AN285" s="27"/>
      <c r="AO285" s="27"/>
      <c r="AP285" s="27"/>
      <c r="AY285" s="27"/>
      <c r="AZ285" s="27"/>
      <c r="BA285" s="27"/>
      <c r="BB285" s="27"/>
      <c r="BC285" s="28"/>
      <c r="BD285" s="29"/>
      <c r="BE285" s="29"/>
      <c r="BF285" s="27"/>
      <c r="BG285" s="27"/>
      <c r="BH285" s="27"/>
      <c r="BI285" s="27"/>
      <c r="BJ285" s="27"/>
      <c r="BK285" s="27"/>
      <c r="BL285" s="27"/>
      <c r="BM285" s="27"/>
    </row>
    <row r="286">
      <c r="I286" s="27"/>
      <c r="J286" s="27"/>
      <c r="K286" s="27"/>
      <c r="L286" s="27"/>
      <c r="M286" s="28"/>
      <c r="N286" s="29"/>
      <c r="O286" s="29"/>
      <c r="P286" s="29"/>
      <c r="Q286" s="27"/>
      <c r="R286" s="27"/>
      <c r="S286" s="27"/>
      <c r="T286" s="27"/>
      <c r="U286" s="27"/>
      <c r="V286" s="27"/>
      <c r="AE286" s="27"/>
      <c r="AF286" s="27"/>
      <c r="AG286" s="27"/>
      <c r="AH286" s="27"/>
      <c r="AI286" s="28"/>
      <c r="AJ286" s="29"/>
      <c r="AK286" s="29"/>
      <c r="AL286" s="27"/>
      <c r="AM286" s="27"/>
      <c r="AN286" s="27"/>
      <c r="AO286" s="27"/>
      <c r="AP286" s="27"/>
      <c r="AY286" s="27"/>
      <c r="AZ286" s="27"/>
      <c r="BA286" s="27"/>
      <c r="BB286" s="27"/>
      <c r="BC286" s="28"/>
      <c r="BD286" s="29"/>
      <c r="BE286" s="29"/>
      <c r="BF286" s="27"/>
      <c r="BG286" s="27"/>
      <c r="BH286" s="27"/>
      <c r="BI286" s="27"/>
      <c r="BJ286" s="27"/>
      <c r="BK286" s="27"/>
      <c r="BL286" s="27"/>
      <c r="BM286" s="27"/>
    </row>
    <row r="287">
      <c r="I287" s="27"/>
      <c r="J287" s="27"/>
      <c r="K287" s="27"/>
      <c r="L287" s="27"/>
      <c r="M287" s="28"/>
      <c r="N287" s="29"/>
      <c r="O287" s="29"/>
      <c r="P287" s="29"/>
      <c r="Q287" s="27"/>
      <c r="R287" s="27"/>
      <c r="S287" s="27"/>
      <c r="T287" s="27"/>
      <c r="U287" s="27"/>
      <c r="V287" s="27"/>
      <c r="AE287" s="27"/>
      <c r="AF287" s="27"/>
      <c r="AG287" s="27"/>
      <c r="AH287" s="27"/>
      <c r="AI287" s="28"/>
      <c r="AJ287" s="29"/>
      <c r="AK287" s="29"/>
      <c r="AL287" s="27"/>
      <c r="AM287" s="27"/>
      <c r="AN287" s="27"/>
      <c r="AO287" s="27"/>
      <c r="AP287" s="27"/>
      <c r="AY287" s="27"/>
      <c r="AZ287" s="27"/>
      <c r="BA287" s="27"/>
      <c r="BB287" s="27"/>
      <c r="BC287" s="28"/>
      <c r="BD287" s="29"/>
      <c r="BE287" s="29"/>
      <c r="BF287" s="27"/>
      <c r="BG287" s="27"/>
      <c r="BH287" s="27"/>
      <c r="BI287" s="27"/>
      <c r="BJ287" s="27"/>
      <c r="BK287" s="27"/>
      <c r="BL287" s="27"/>
      <c r="BM287" s="27"/>
    </row>
    <row r="288">
      <c r="I288" s="27"/>
      <c r="J288" s="27"/>
      <c r="K288" s="27"/>
      <c r="L288" s="27"/>
      <c r="M288" s="28"/>
      <c r="N288" s="29"/>
      <c r="O288" s="29"/>
      <c r="P288" s="29"/>
      <c r="Q288" s="27"/>
      <c r="R288" s="27"/>
      <c r="S288" s="27"/>
      <c r="T288" s="27"/>
      <c r="U288" s="27"/>
      <c r="V288" s="27"/>
      <c r="AE288" s="27"/>
      <c r="AF288" s="27"/>
      <c r="AG288" s="27"/>
      <c r="AH288" s="27"/>
      <c r="AI288" s="28"/>
      <c r="AJ288" s="29"/>
      <c r="AK288" s="29"/>
      <c r="AL288" s="27"/>
      <c r="AM288" s="27"/>
      <c r="AN288" s="27"/>
      <c r="AO288" s="27"/>
      <c r="AP288" s="27"/>
      <c r="AY288" s="27"/>
      <c r="AZ288" s="27"/>
      <c r="BA288" s="27"/>
      <c r="BB288" s="27"/>
      <c r="BC288" s="28"/>
      <c r="BD288" s="29"/>
      <c r="BE288" s="29"/>
      <c r="BF288" s="27"/>
      <c r="BG288" s="27"/>
      <c r="BH288" s="27"/>
      <c r="BI288" s="27"/>
      <c r="BJ288" s="27"/>
      <c r="BK288" s="27"/>
      <c r="BL288" s="27"/>
      <c r="BM288" s="27"/>
    </row>
    <row r="289">
      <c r="I289" s="27"/>
      <c r="J289" s="27"/>
      <c r="K289" s="27"/>
      <c r="L289" s="27"/>
      <c r="M289" s="28"/>
      <c r="N289" s="29"/>
      <c r="O289" s="29"/>
      <c r="P289" s="29"/>
      <c r="Q289" s="27"/>
      <c r="R289" s="27"/>
      <c r="S289" s="27"/>
      <c r="T289" s="27"/>
      <c r="U289" s="27"/>
      <c r="V289" s="27"/>
      <c r="AE289" s="27"/>
      <c r="AF289" s="27"/>
      <c r="AG289" s="27"/>
      <c r="AH289" s="27"/>
      <c r="AI289" s="28"/>
      <c r="AJ289" s="29"/>
      <c r="AK289" s="29"/>
      <c r="AL289" s="27"/>
      <c r="AM289" s="27"/>
      <c r="AN289" s="27"/>
      <c r="AO289" s="27"/>
      <c r="AP289" s="27"/>
      <c r="AY289" s="27"/>
      <c r="AZ289" s="27"/>
      <c r="BA289" s="27"/>
      <c r="BB289" s="27"/>
      <c r="BC289" s="28"/>
      <c r="BD289" s="29"/>
      <c r="BE289" s="29"/>
      <c r="BF289" s="27"/>
      <c r="BG289" s="27"/>
      <c r="BH289" s="27"/>
      <c r="BI289" s="27"/>
      <c r="BJ289" s="27"/>
      <c r="BK289" s="27"/>
      <c r="BL289" s="27"/>
      <c r="BM289" s="27"/>
    </row>
    <row r="290">
      <c r="I290" s="27"/>
      <c r="J290" s="27"/>
      <c r="K290" s="27"/>
      <c r="L290" s="27"/>
      <c r="M290" s="28"/>
      <c r="N290" s="29"/>
      <c r="O290" s="29"/>
      <c r="P290" s="29"/>
      <c r="Q290" s="27"/>
      <c r="R290" s="27"/>
      <c r="S290" s="27"/>
      <c r="T290" s="27"/>
      <c r="U290" s="27"/>
      <c r="V290" s="27"/>
      <c r="AE290" s="27"/>
      <c r="AF290" s="27"/>
      <c r="AG290" s="27"/>
      <c r="AH290" s="27"/>
      <c r="AI290" s="28"/>
      <c r="AJ290" s="29"/>
      <c r="AK290" s="29"/>
      <c r="AL290" s="27"/>
      <c r="AM290" s="27"/>
      <c r="AN290" s="27"/>
      <c r="AO290" s="27"/>
      <c r="AP290" s="27"/>
      <c r="AY290" s="27"/>
      <c r="AZ290" s="27"/>
      <c r="BA290" s="27"/>
      <c r="BB290" s="27"/>
      <c r="BC290" s="28"/>
      <c r="BD290" s="29"/>
      <c r="BE290" s="29"/>
      <c r="BF290" s="27"/>
      <c r="BG290" s="27"/>
      <c r="BH290" s="27"/>
      <c r="BI290" s="27"/>
      <c r="BJ290" s="27"/>
      <c r="BK290" s="27"/>
      <c r="BL290" s="27"/>
      <c r="BM290" s="27"/>
    </row>
    <row r="291">
      <c r="I291" s="27"/>
      <c r="J291" s="27"/>
      <c r="K291" s="27"/>
      <c r="L291" s="27"/>
      <c r="M291" s="28"/>
      <c r="N291" s="29"/>
      <c r="O291" s="29"/>
      <c r="P291" s="29"/>
      <c r="Q291" s="27"/>
      <c r="R291" s="27"/>
      <c r="S291" s="27"/>
      <c r="T291" s="27"/>
      <c r="U291" s="27"/>
      <c r="V291" s="27"/>
      <c r="AE291" s="27"/>
      <c r="AF291" s="27"/>
      <c r="AG291" s="27"/>
      <c r="AH291" s="27"/>
      <c r="AI291" s="28"/>
      <c r="AJ291" s="29"/>
      <c r="AK291" s="29"/>
      <c r="AL291" s="27"/>
      <c r="AM291" s="27"/>
      <c r="AN291" s="27"/>
      <c r="AO291" s="27"/>
      <c r="AP291" s="27"/>
      <c r="AY291" s="27"/>
      <c r="AZ291" s="27"/>
      <c r="BA291" s="27"/>
      <c r="BB291" s="27"/>
      <c r="BC291" s="28"/>
      <c r="BD291" s="29"/>
      <c r="BE291" s="29"/>
      <c r="BF291" s="27"/>
      <c r="BG291" s="27"/>
      <c r="BH291" s="27"/>
      <c r="BI291" s="27"/>
      <c r="BJ291" s="27"/>
      <c r="BK291" s="27"/>
      <c r="BL291" s="27"/>
      <c r="BM291" s="27"/>
    </row>
    <row r="292">
      <c r="I292" s="27"/>
      <c r="J292" s="27"/>
      <c r="K292" s="27"/>
      <c r="L292" s="27"/>
      <c r="M292" s="28"/>
      <c r="N292" s="29"/>
      <c r="O292" s="29"/>
      <c r="P292" s="29"/>
      <c r="Q292" s="27"/>
      <c r="R292" s="27"/>
      <c r="S292" s="27"/>
      <c r="T292" s="27"/>
      <c r="U292" s="27"/>
      <c r="V292" s="27"/>
      <c r="AE292" s="27"/>
      <c r="AF292" s="27"/>
      <c r="AG292" s="27"/>
      <c r="AH292" s="27"/>
      <c r="AI292" s="28"/>
      <c r="AJ292" s="29"/>
      <c r="AK292" s="29"/>
      <c r="AL292" s="27"/>
      <c r="AM292" s="27"/>
      <c r="AN292" s="27"/>
      <c r="AO292" s="27"/>
      <c r="AP292" s="27"/>
      <c r="AY292" s="27"/>
      <c r="AZ292" s="27"/>
      <c r="BA292" s="27"/>
      <c r="BB292" s="27"/>
      <c r="BC292" s="28"/>
      <c r="BD292" s="29"/>
      <c r="BE292" s="29"/>
      <c r="BF292" s="27"/>
      <c r="BG292" s="27"/>
      <c r="BH292" s="27"/>
      <c r="BI292" s="27"/>
      <c r="BJ292" s="27"/>
      <c r="BK292" s="27"/>
      <c r="BL292" s="27"/>
      <c r="BM292" s="27"/>
    </row>
    <row r="293">
      <c r="I293" s="27"/>
      <c r="J293" s="27"/>
      <c r="K293" s="27"/>
      <c r="L293" s="27"/>
      <c r="M293" s="28"/>
      <c r="N293" s="29"/>
      <c r="O293" s="29"/>
      <c r="P293" s="29"/>
      <c r="Q293" s="27"/>
      <c r="R293" s="27"/>
      <c r="S293" s="27"/>
      <c r="T293" s="27"/>
      <c r="U293" s="27"/>
      <c r="V293" s="27"/>
      <c r="AE293" s="27"/>
      <c r="AF293" s="27"/>
      <c r="AG293" s="27"/>
      <c r="AH293" s="27"/>
      <c r="AI293" s="28"/>
      <c r="AJ293" s="29"/>
      <c r="AK293" s="29"/>
      <c r="AL293" s="27"/>
      <c r="AM293" s="27"/>
      <c r="AN293" s="27"/>
      <c r="AO293" s="27"/>
      <c r="AP293" s="27"/>
      <c r="AY293" s="27"/>
      <c r="AZ293" s="27"/>
      <c r="BA293" s="27"/>
      <c r="BB293" s="27"/>
      <c r="BC293" s="28"/>
      <c r="BD293" s="29"/>
      <c r="BE293" s="29"/>
      <c r="BF293" s="27"/>
      <c r="BG293" s="27"/>
      <c r="BH293" s="27"/>
      <c r="BI293" s="27"/>
      <c r="BJ293" s="27"/>
      <c r="BK293" s="27"/>
      <c r="BL293" s="27"/>
      <c r="BM293" s="27"/>
    </row>
    <row r="294">
      <c r="I294" s="27"/>
      <c r="J294" s="27"/>
      <c r="K294" s="27"/>
      <c r="L294" s="27"/>
      <c r="M294" s="28"/>
      <c r="N294" s="29"/>
      <c r="O294" s="29"/>
      <c r="P294" s="29"/>
      <c r="Q294" s="27"/>
      <c r="R294" s="27"/>
      <c r="S294" s="27"/>
      <c r="T294" s="27"/>
      <c r="U294" s="27"/>
      <c r="V294" s="27"/>
      <c r="AE294" s="27"/>
      <c r="AF294" s="27"/>
      <c r="AG294" s="27"/>
      <c r="AH294" s="27"/>
      <c r="AI294" s="28"/>
      <c r="AJ294" s="29"/>
      <c r="AK294" s="29"/>
      <c r="AL294" s="27"/>
      <c r="AM294" s="27"/>
      <c r="AN294" s="27"/>
      <c r="AO294" s="27"/>
      <c r="AP294" s="27"/>
      <c r="AY294" s="27"/>
      <c r="AZ294" s="27"/>
      <c r="BA294" s="27"/>
      <c r="BB294" s="27"/>
      <c r="BC294" s="28"/>
      <c r="BD294" s="29"/>
      <c r="BE294" s="29"/>
      <c r="BF294" s="27"/>
      <c r="BG294" s="27"/>
      <c r="BH294" s="27"/>
      <c r="BI294" s="27"/>
      <c r="BJ294" s="27"/>
      <c r="BK294" s="27"/>
      <c r="BL294" s="27"/>
      <c r="BM294" s="27"/>
    </row>
    <row r="295">
      <c r="I295" s="27"/>
      <c r="J295" s="27"/>
      <c r="K295" s="27"/>
      <c r="L295" s="27"/>
      <c r="M295" s="28"/>
      <c r="N295" s="29"/>
      <c r="O295" s="29"/>
      <c r="P295" s="29"/>
      <c r="Q295" s="27"/>
      <c r="R295" s="27"/>
      <c r="S295" s="27"/>
      <c r="T295" s="27"/>
      <c r="U295" s="27"/>
      <c r="V295" s="27"/>
      <c r="AE295" s="27"/>
      <c r="AF295" s="27"/>
      <c r="AG295" s="27"/>
      <c r="AH295" s="27"/>
      <c r="AI295" s="28"/>
      <c r="AJ295" s="29"/>
      <c r="AK295" s="29"/>
      <c r="AL295" s="27"/>
      <c r="AM295" s="27"/>
      <c r="AN295" s="27"/>
      <c r="AO295" s="27"/>
      <c r="AP295" s="27"/>
      <c r="AY295" s="27"/>
      <c r="AZ295" s="27"/>
      <c r="BA295" s="27"/>
      <c r="BB295" s="27"/>
      <c r="BC295" s="28"/>
      <c r="BD295" s="29"/>
      <c r="BE295" s="29"/>
      <c r="BF295" s="27"/>
      <c r="BG295" s="27"/>
      <c r="BH295" s="27"/>
      <c r="BI295" s="27"/>
      <c r="BJ295" s="27"/>
      <c r="BK295" s="27"/>
      <c r="BL295" s="27"/>
      <c r="BM295" s="27"/>
    </row>
    <row r="296">
      <c r="I296" s="27"/>
      <c r="J296" s="27"/>
      <c r="K296" s="27"/>
      <c r="L296" s="27"/>
      <c r="M296" s="28"/>
      <c r="N296" s="29"/>
      <c r="O296" s="29"/>
      <c r="P296" s="29"/>
      <c r="Q296" s="27"/>
      <c r="R296" s="27"/>
      <c r="S296" s="27"/>
      <c r="T296" s="27"/>
      <c r="U296" s="27"/>
      <c r="V296" s="27"/>
      <c r="AE296" s="27"/>
      <c r="AF296" s="27"/>
      <c r="AG296" s="27"/>
      <c r="AH296" s="27"/>
      <c r="AI296" s="28"/>
      <c r="AJ296" s="29"/>
      <c r="AK296" s="29"/>
      <c r="AL296" s="27"/>
      <c r="AM296" s="27"/>
      <c r="AN296" s="27"/>
      <c r="AO296" s="27"/>
      <c r="AP296" s="27"/>
      <c r="AY296" s="27"/>
      <c r="AZ296" s="27"/>
      <c r="BA296" s="27"/>
      <c r="BB296" s="27"/>
      <c r="BC296" s="28"/>
      <c r="BD296" s="29"/>
      <c r="BE296" s="29"/>
      <c r="BF296" s="27"/>
      <c r="BG296" s="27"/>
      <c r="BH296" s="27"/>
      <c r="BI296" s="27"/>
      <c r="BJ296" s="27"/>
      <c r="BK296" s="27"/>
      <c r="BL296" s="27"/>
      <c r="BM296" s="27"/>
    </row>
    <row r="297">
      <c r="I297" s="27"/>
      <c r="J297" s="27"/>
      <c r="K297" s="27"/>
      <c r="L297" s="27"/>
      <c r="M297" s="28"/>
      <c r="N297" s="29"/>
      <c r="O297" s="29"/>
      <c r="P297" s="29"/>
      <c r="Q297" s="27"/>
      <c r="R297" s="27"/>
      <c r="S297" s="27"/>
      <c r="T297" s="27"/>
      <c r="U297" s="27"/>
      <c r="V297" s="27"/>
      <c r="AE297" s="27"/>
      <c r="AF297" s="27"/>
      <c r="AG297" s="27"/>
      <c r="AH297" s="27"/>
      <c r="AI297" s="28"/>
      <c r="AJ297" s="29"/>
      <c r="AK297" s="29"/>
      <c r="AL297" s="27"/>
      <c r="AM297" s="27"/>
      <c r="AN297" s="27"/>
      <c r="AO297" s="27"/>
      <c r="AP297" s="27"/>
      <c r="AY297" s="27"/>
      <c r="AZ297" s="27"/>
      <c r="BA297" s="27"/>
      <c r="BB297" s="27"/>
      <c r="BC297" s="28"/>
      <c r="BD297" s="29"/>
      <c r="BE297" s="29"/>
      <c r="BF297" s="27"/>
      <c r="BG297" s="27"/>
      <c r="BH297" s="27"/>
      <c r="BI297" s="27"/>
      <c r="BJ297" s="27"/>
      <c r="BK297" s="27"/>
      <c r="BL297" s="27"/>
      <c r="BM297" s="27"/>
    </row>
    <row r="298">
      <c r="I298" s="27"/>
      <c r="J298" s="27"/>
      <c r="K298" s="27"/>
      <c r="L298" s="27"/>
      <c r="M298" s="28"/>
      <c r="N298" s="29"/>
      <c r="O298" s="29"/>
      <c r="P298" s="29"/>
      <c r="Q298" s="27"/>
      <c r="R298" s="27"/>
      <c r="S298" s="27"/>
      <c r="T298" s="27"/>
      <c r="U298" s="27"/>
      <c r="V298" s="27"/>
      <c r="AE298" s="27"/>
      <c r="AF298" s="27"/>
      <c r="AG298" s="27"/>
      <c r="AH298" s="27"/>
      <c r="AI298" s="28"/>
      <c r="AJ298" s="29"/>
      <c r="AK298" s="29"/>
      <c r="AL298" s="27"/>
      <c r="AM298" s="27"/>
      <c r="AN298" s="27"/>
      <c r="AO298" s="27"/>
      <c r="AP298" s="27"/>
      <c r="AY298" s="27"/>
      <c r="AZ298" s="27"/>
      <c r="BA298" s="27"/>
      <c r="BB298" s="27"/>
      <c r="BC298" s="28"/>
      <c r="BD298" s="29"/>
      <c r="BE298" s="29"/>
      <c r="BF298" s="27"/>
      <c r="BG298" s="27"/>
      <c r="BH298" s="27"/>
      <c r="BI298" s="27"/>
      <c r="BJ298" s="27"/>
      <c r="BK298" s="27"/>
      <c r="BL298" s="27"/>
      <c r="BM298" s="27"/>
    </row>
    <row r="299">
      <c r="I299" s="27"/>
      <c r="J299" s="27"/>
      <c r="K299" s="27"/>
      <c r="L299" s="27"/>
      <c r="M299" s="28"/>
      <c r="N299" s="29"/>
      <c r="O299" s="29"/>
      <c r="P299" s="29"/>
      <c r="Q299" s="27"/>
      <c r="R299" s="27"/>
      <c r="S299" s="27"/>
      <c r="T299" s="27"/>
      <c r="U299" s="27"/>
      <c r="V299" s="27"/>
      <c r="AE299" s="27"/>
      <c r="AF299" s="27"/>
      <c r="AG299" s="27"/>
      <c r="AH299" s="27"/>
      <c r="AI299" s="28"/>
      <c r="AJ299" s="29"/>
      <c r="AK299" s="29"/>
      <c r="AL299" s="27"/>
      <c r="AM299" s="27"/>
      <c r="AN299" s="27"/>
      <c r="AO299" s="27"/>
      <c r="AP299" s="27"/>
      <c r="AY299" s="27"/>
      <c r="AZ299" s="27"/>
      <c r="BA299" s="27"/>
      <c r="BB299" s="27"/>
      <c r="BC299" s="28"/>
      <c r="BD299" s="29"/>
      <c r="BE299" s="29"/>
      <c r="BF299" s="27"/>
      <c r="BG299" s="27"/>
      <c r="BH299" s="27"/>
      <c r="BI299" s="27"/>
      <c r="BJ299" s="27"/>
      <c r="BK299" s="27"/>
      <c r="BL299" s="27"/>
      <c r="BM299" s="27"/>
    </row>
    <row r="300">
      <c r="I300" s="27"/>
      <c r="J300" s="27"/>
      <c r="K300" s="27"/>
      <c r="L300" s="27"/>
      <c r="M300" s="28"/>
      <c r="N300" s="29"/>
      <c r="O300" s="29"/>
      <c r="P300" s="29"/>
      <c r="Q300" s="27"/>
      <c r="R300" s="27"/>
      <c r="S300" s="27"/>
      <c r="T300" s="27"/>
      <c r="U300" s="27"/>
      <c r="V300" s="27"/>
      <c r="AE300" s="27"/>
      <c r="AF300" s="27"/>
      <c r="AG300" s="27"/>
      <c r="AH300" s="27"/>
      <c r="AI300" s="28"/>
      <c r="AJ300" s="29"/>
      <c r="AK300" s="29"/>
      <c r="AL300" s="27"/>
      <c r="AM300" s="27"/>
      <c r="AN300" s="27"/>
      <c r="AO300" s="27"/>
      <c r="AP300" s="27"/>
      <c r="AY300" s="27"/>
      <c r="AZ300" s="27"/>
      <c r="BA300" s="27"/>
      <c r="BB300" s="27"/>
      <c r="BC300" s="28"/>
      <c r="BD300" s="29"/>
      <c r="BE300" s="29"/>
      <c r="BF300" s="27"/>
      <c r="BG300" s="27"/>
      <c r="BH300" s="27"/>
      <c r="BI300" s="27"/>
      <c r="BJ300" s="27"/>
      <c r="BK300" s="27"/>
      <c r="BL300" s="27"/>
      <c r="BM300" s="27"/>
    </row>
    <row r="301">
      <c r="I301" s="27"/>
      <c r="J301" s="27"/>
      <c r="K301" s="27"/>
      <c r="L301" s="27"/>
      <c r="M301" s="28"/>
      <c r="N301" s="29"/>
      <c r="O301" s="29"/>
      <c r="P301" s="29"/>
      <c r="Q301" s="27"/>
      <c r="R301" s="27"/>
      <c r="S301" s="27"/>
      <c r="T301" s="27"/>
      <c r="U301" s="27"/>
      <c r="V301" s="27"/>
      <c r="AE301" s="27"/>
      <c r="AF301" s="27"/>
      <c r="AG301" s="27"/>
      <c r="AH301" s="27"/>
      <c r="AI301" s="28"/>
      <c r="AJ301" s="29"/>
      <c r="AK301" s="29"/>
      <c r="AL301" s="27"/>
      <c r="AM301" s="27"/>
      <c r="AN301" s="27"/>
      <c r="AO301" s="27"/>
      <c r="AP301" s="27"/>
      <c r="AY301" s="27"/>
      <c r="AZ301" s="27"/>
      <c r="BA301" s="27"/>
      <c r="BB301" s="27"/>
      <c r="BC301" s="28"/>
      <c r="BD301" s="29"/>
      <c r="BE301" s="29"/>
      <c r="BF301" s="27"/>
      <c r="BG301" s="27"/>
      <c r="BH301" s="27"/>
      <c r="BI301" s="27"/>
      <c r="BJ301" s="27"/>
      <c r="BK301" s="27"/>
      <c r="BL301" s="27"/>
      <c r="BM301" s="27"/>
    </row>
    <row r="302">
      <c r="I302" s="27"/>
      <c r="J302" s="27"/>
      <c r="K302" s="27"/>
      <c r="L302" s="27"/>
      <c r="M302" s="28"/>
      <c r="N302" s="29"/>
      <c r="O302" s="29"/>
      <c r="P302" s="29"/>
      <c r="Q302" s="27"/>
      <c r="R302" s="27"/>
      <c r="S302" s="27"/>
      <c r="T302" s="27"/>
      <c r="U302" s="27"/>
      <c r="V302" s="27"/>
      <c r="AE302" s="27"/>
      <c r="AF302" s="27"/>
      <c r="AG302" s="27"/>
      <c r="AH302" s="27"/>
      <c r="AI302" s="28"/>
      <c r="AJ302" s="29"/>
      <c r="AK302" s="29"/>
      <c r="AL302" s="27"/>
      <c r="AM302" s="27"/>
      <c r="AN302" s="27"/>
      <c r="AO302" s="27"/>
      <c r="AP302" s="27"/>
      <c r="AY302" s="27"/>
      <c r="AZ302" s="27"/>
      <c r="BA302" s="27"/>
      <c r="BB302" s="27"/>
      <c r="BC302" s="28"/>
      <c r="BD302" s="29"/>
      <c r="BE302" s="29"/>
      <c r="BF302" s="27"/>
      <c r="BG302" s="27"/>
      <c r="BH302" s="27"/>
      <c r="BI302" s="27"/>
      <c r="BJ302" s="27"/>
      <c r="BK302" s="27"/>
      <c r="BL302" s="27"/>
      <c r="BM302" s="27"/>
    </row>
    <row r="303">
      <c r="I303" s="27"/>
      <c r="J303" s="27"/>
      <c r="K303" s="27"/>
      <c r="L303" s="27"/>
      <c r="M303" s="28"/>
      <c r="N303" s="29"/>
      <c r="O303" s="29"/>
      <c r="P303" s="29"/>
      <c r="Q303" s="27"/>
      <c r="R303" s="27"/>
      <c r="S303" s="27"/>
      <c r="T303" s="27"/>
      <c r="U303" s="27"/>
      <c r="V303" s="27"/>
      <c r="AE303" s="27"/>
      <c r="AF303" s="27"/>
      <c r="AG303" s="27"/>
      <c r="AH303" s="27"/>
      <c r="AI303" s="28"/>
      <c r="AJ303" s="29"/>
      <c r="AK303" s="29"/>
      <c r="AL303" s="27"/>
      <c r="AM303" s="27"/>
      <c r="AN303" s="27"/>
      <c r="AO303" s="27"/>
      <c r="AP303" s="27"/>
      <c r="AY303" s="27"/>
      <c r="AZ303" s="27"/>
      <c r="BA303" s="27"/>
      <c r="BB303" s="27"/>
      <c r="BC303" s="28"/>
      <c r="BD303" s="29"/>
      <c r="BE303" s="29"/>
      <c r="BF303" s="27"/>
      <c r="BG303" s="27"/>
      <c r="BH303" s="27"/>
      <c r="BI303" s="27"/>
      <c r="BJ303" s="27"/>
      <c r="BK303" s="27"/>
      <c r="BL303" s="27"/>
      <c r="BM303" s="27"/>
    </row>
    <row r="304">
      <c r="I304" s="27"/>
      <c r="J304" s="27"/>
      <c r="K304" s="27"/>
      <c r="L304" s="27"/>
      <c r="M304" s="28"/>
      <c r="N304" s="29"/>
      <c r="O304" s="29"/>
      <c r="P304" s="29"/>
      <c r="Q304" s="27"/>
      <c r="R304" s="27"/>
      <c r="S304" s="27"/>
      <c r="T304" s="27"/>
      <c r="U304" s="27"/>
      <c r="V304" s="27"/>
      <c r="AE304" s="27"/>
      <c r="AF304" s="27"/>
      <c r="AG304" s="27"/>
      <c r="AH304" s="27"/>
      <c r="AI304" s="28"/>
      <c r="AJ304" s="29"/>
      <c r="AK304" s="29"/>
      <c r="AL304" s="27"/>
      <c r="AM304" s="27"/>
      <c r="AN304" s="27"/>
      <c r="AO304" s="27"/>
      <c r="AP304" s="27"/>
      <c r="AY304" s="27"/>
      <c r="AZ304" s="27"/>
      <c r="BA304" s="27"/>
      <c r="BB304" s="27"/>
      <c r="BC304" s="28"/>
      <c r="BD304" s="29"/>
      <c r="BE304" s="29"/>
      <c r="BF304" s="27"/>
      <c r="BG304" s="27"/>
      <c r="BH304" s="27"/>
      <c r="BI304" s="27"/>
      <c r="BJ304" s="27"/>
      <c r="BK304" s="27"/>
      <c r="BL304" s="27"/>
      <c r="BM304" s="27"/>
    </row>
    <row r="305">
      <c r="I305" s="27"/>
      <c r="J305" s="27"/>
      <c r="K305" s="27"/>
      <c r="L305" s="27"/>
      <c r="M305" s="28"/>
      <c r="N305" s="29"/>
      <c r="O305" s="29"/>
      <c r="P305" s="29"/>
      <c r="Q305" s="27"/>
      <c r="R305" s="27"/>
      <c r="S305" s="27"/>
      <c r="T305" s="27"/>
      <c r="U305" s="27"/>
      <c r="V305" s="27"/>
      <c r="AE305" s="27"/>
      <c r="AF305" s="27"/>
      <c r="AG305" s="27"/>
      <c r="AH305" s="27"/>
      <c r="AI305" s="28"/>
      <c r="AJ305" s="29"/>
      <c r="AK305" s="29"/>
      <c r="AL305" s="27"/>
      <c r="AM305" s="27"/>
      <c r="AN305" s="27"/>
      <c r="AO305" s="27"/>
      <c r="AP305" s="27"/>
      <c r="AY305" s="27"/>
      <c r="AZ305" s="27"/>
      <c r="BA305" s="27"/>
      <c r="BB305" s="27"/>
      <c r="BC305" s="28"/>
      <c r="BD305" s="29"/>
      <c r="BE305" s="29"/>
      <c r="BF305" s="27"/>
      <c r="BG305" s="27"/>
      <c r="BH305" s="27"/>
      <c r="BI305" s="27"/>
      <c r="BJ305" s="27"/>
      <c r="BK305" s="27"/>
      <c r="BL305" s="27"/>
      <c r="BM305" s="27"/>
    </row>
    <row r="306">
      <c r="I306" s="27"/>
      <c r="J306" s="27"/>
      <c r="K306" s="27"/>
      <c r="L306" s="27"/>
      <c r="M306" s="28"/>
      <c r="N306" s="29"/>
      <c r="O306" s="29"/>
      <c r="P306" s="29"/>
      <c r="Q306" s="27"/>
      <c r="R306" s="27"/>
      <c r="S306" s="27"/>
      <c r="T306" s="27"/>
      <c r="U306" s="27"/>
      <c r="V306" s="27"/>
      <c r="AE306" s="27"/>
      <c r="AF306" s="27"/>
      <c r="AG306" s="27"/>
      <c r="AH306" s="27"/>
      <c r="AI306" s="28"/>
      <c r="AJ306" s="29"/>
      <c r="AK306" s="29"/>
      <c r="AL306" s="27"/>
      <c r="AM306" s="27"/>
      <c r="AN306" s="27"/>
      <c r="AO306" s="27"/>
      <c r="AP306" s="27"/>
      <c r="AY306" s="27"/>
      <c r="AZ306" s="27"/>
      <c r="BA306" s="27"/>
      <c r="BB306" s="27"/>
      <c r="BC306" s="28"/>
      <c r="BD306" s="29"/>
      <c r="BE306" s="29"/>
      <c r="BF306" s="27"/>
      <c r="BG306" s="27"/>
      <c r="BH306" s="27"/>
      <c r="BI306" s="27"/>
      <c r="BJ306" s="27"/>
      <c r="BK306" s="27"/>
      <c r="BL306" s="27"/>
      <c r="BM306" s="27"/>
    </row>
    <row r="307">
      <c r="I307" s="27"/>
      <c r="J307" s="27"/>
      <c r="K307" s="27"/>
      <c r="L307" s="27"/>
      <c r="M307" s="28"/>
      <c r="N307" s="29"/>
      <c r="O307" s="29"/>
      <c r="P307" s="29"/>
      <c r="Q307" s="27"/>
      <c r="R307" s="27"/>
      <c r="S307" s="27"/>
      <c r="T307" s="27"/>
      <c r="U307" s="27"/>
      <c r="V307" s="27"/>
      <c r="AE307" s="27"/>
      <c r="AF307" s="27"/>
      <c r="AG307" s="27"/>
      <c r="AH307" s="27"/>
      <c r="AI307" s="28"/>
      <c r="AJ307" s="29"/>
      <c r="AK307" s="29"/>
      <c r="AL307" s="27"/>
      <c r="AM307" s="27"/>
      <c r="AN307" s="27"/>
      <c r="AO307" s="27"/>
      <c r="AP307" s="27"/>
      <c r="AY307" s="27"/>
      <c r="AZ307" s="27"/>
      <c r="BA307" s="27"/>
      <c r="BB307" s="27"/>
      <c r="BC307" s="28"/>
      <c r="BD307" s="29"/>
      <c r="BE307" s="29"/>
      <c r="BF307" s="27"/>
      <c r="BG307" s="27"/>
      <c r="BH307" s="27"/>
      <c r="BI307" s="27"/>
      <c r="BJ307" s="27"/>
      <c r="BK307" s="27"/>
      <c r="BL307" s="27"/>
      <c r="BM307" s="27"/>
    </row>
    <row r="308">
      <c r="I308" s="27"/>
      <c r="J308" s="27"/>
      <c r="K308" s="27"/>
      <c r="L308" s="27"/>
      <c r="M308" s="28"/>
      <c r="N308" s="29"/>
      <c r="O308" s="29"/>
      <c r="P308" s="29"/>
      <c r="Q308" s="27"/>
      <c r="R308" s="27"/>
      <c r="S308" s="27"/>
      <c r="T308" s="27"/>
      <c r="U308" s="27"/>
      <c r="V308" s="27"/>
      <c r="AE308" s="27"/>
      <c r="AF308" s="27"/>
      <c r="AG308" s="27"/>
      <c r="AH308" s="27"/>
      <c r="AI308" s="28"/>
      <c r="AJ308" s="29"/>
      <c r="AK308" s="29"/>
      <c r="AL308" s="27"/>
      <c r="AM308" s="27"/>
      <c r="AN308" s="27"/>
      <c r="AO308" s="27"/>
      <c r="AP308" s="27"/>
      <c r="AY308" s="27"/>
      <c r="AZ308" s="27"/>
      <c r="BA308" s="27"/>
      <c r="BB308" s="27"/>
      <c r="BC308" s="28"/>
      <c r="BD308" s="29"/>
      <c r="BE308" s="29"/>
      <c r="BF308" s="27"/>
      <c r="BG308" s="27"/>
      <c r="BH308" s="27"/>
      <c r="BI308" s="27"/>
      <c r="BJ308" s="27"/>
      <c r="BK308" s="27"/>
      <c r="BL308" s="27"/>
      <c r="BM308" s="27"/>
    </row>
    <row r="309">
      <c r="I309" s="27"/>
      <c r="J309" s="27"/>
      <c r="K309" s="27"/>
      <c r="L309" s="27"/>
      <c r="M309" s="28"/>
      <c r="N309" s="29"/>
      <c r="O309" s="29"/>
      <c r="P309" s="29"/>
      <c r="Q309" s="27"/>
      <c r="R309" s="27"/>
      <c r="S309" s="27"/>
      <c r="T309" s="27"/>
      <c r="U309" s="27"/>
      <c r="V309" s="27"/>
      <c r="AE309" s="27"/>
      <c r="AF309" s="27"/>
      <c r="AG309" s="27"/>
      <c r="AH309" s="27"/>
      <c r="AI309" s="28"/>
      <c r="AJ309" s="29"/>
      <c r="AK309" s="29"/>
      <c r="AL309" s="27"/>
      <c r="AM309" s="27"/>
      <c r="AN309" s="27"/>
      <c r="AO309" s="27"/>
      <c r="AP309" s="27"/>
      <c r="AY309" s="27"/>
      <c r="AZ309" s="27"/>
      <c r="BA309" s="27"/>
      <c r="BB309" s="27"/>
      <c r="BC309" s="28"/>
      <c r="BD309" s="29"/>
      <c r="BE309" s="29"/>
      <c r="BF309" s="27"/>
      <c r="BG309" s="27"/>
      <c r="BH309" s="27"/>
      <c r="BI309" s="27"/>
      <c r="BJ309" s="27"/>
      <c r="BK309" s="27"/>
      <c r="BL309" s="27"/>
      <c r="BM309" s="27"/>
    </row>
    <row r="310">
      <c r="I310" s="27"/>
      <c r="J310" s="27"/>
      <c r="K310" s="27"/>
      <c r="L310" s="27"/>
      <c r="M310" s="28"/>
      <c r="N310" s="29"/>
      <c r="O310" s="29"/>
      <c r="P310" s="29"/>
      <c r="Q310" s="27"/>
      <c r="R310" s="27"/>
      <c r="S310" s="27"/>
      <c r="T310" s="27"/>
      <c r="U310" s="27"/>
      <c r="V310" s="27"/>
      <c r="AE310" s="27"/>
      <c r="AF310" s="27"/>
      <c r="AG310" s="27"/>
      <c r="AH310" s="27"/>
      <c r="AI310" s="28"/>
      <c r="AJ310" s="29"/>
      <c r="AK310" s="29"/>
      <c r="AL310" s="27"/>
      <c r="AM310" s="27"/>
      <c r="AN310" s="27"/>
      <c r="AO310" s="27"/>
      <c r="AP310" s="27"/>
      <c r="AY310" s="27"/>
      <c r="AZ310" s="27"/>
      <c r="BA310" s="27"/>
      <c r="BB310" s="27"/>
      <c r="BC310" s="28"/>
      <c r="BD310" s="29"/>
      <c r="BE310" s="29"/>
      <c r="BF310" s="27"/>
      <c r="BG310" s="27"/>
      <c r="BH310" s="27"/>
      <c r="BI310" s="27"/>
      <c r="BJ310" s="27"/>
      <c r="BK310" s="27"/>
      <c r="BL310" s="27"/>
      <c r="BM310" s="27"/>
    </row>
    <row r="311">
      <c r="I311" s="27"/>
      <c r="J311" s="27"/>
      <c r="K311" s="27"/>
      <c r="L311" s="27"/>
      <c r="M311" s="28"/>
      <c r="N311" s="29"/>
      <c r="O311" s="29"/>
      <c r="P311" s="29"/>
      <c r="Q311" s="27"/>
      <c r="R311" s="27"/>
      <c r="S311" s="27"/>
      <c r="T311" s="27"/>
      <c r="U311" s="27"/>
      <c r="V311" s="27"/>
      <c r="AE311" s="27"/>
      <c r="AF311" s="27"/>
      <c r="AG311" s="27"/>
      <c r="AH311" s="27"/>
      <c r="AI311" s="28"/>
      <c r="AJ311" s="29"/>
      <c r="AK311" s="29"/>
      <c r="AL311" s="27"/>
      <c r="AM311" s="27"/>
      <c r="AN311" s="27"/>
      <c r="AO311" s="27"/>
      <c r="AP311" s="27"/>
      <c r="AY311" s="27"/>
      <c r="AZ311" s="27"/>
      <c r="BA311" s="27"/>
      <c r="BB311" s="27"/>
      <c r="BC311" s="28"/>
      <c r="BD311" s="29"/>
      <c r="BE311" s="29"/>
      <c r="BF311" s="27"/>
      <c r="BG311" s="27"/>
      <c r="BH311" s="27"/>
      <c r="BI311" s="27"/>
      <c r="BJ311" s="27"/>
      <c r="BK311" s="27"/>
      <c r="BL311" s="27"/>
      <c r="BM311" s="27"/>
    </row>
    <row r="312">
      <c r="I312" s="27"/>
      <c r="J312" s="27"/>
      <c r="K312" s="27"/>
      <c r="L312" s="27"/>
      <c r="M312" s="28"/>
      <c r="N312" s="29"/>
      <c r="O312" s="29"/>
      <c r="P312" s="29"/>
      <c r="Q312" s="27"/>
      <c r="R312" s="27"/>
      <c r="S312" s="27"/>
      <c r="T312" s="27"/>
      <c r="U312" s="27"/>
      <c r="V312" s="27"/>
      <c r="AE312" s="27"/>
      <c r="AF312" s="27"/>
      <c r="AG312" s="27"/>
      <c r="AH312" s="27"/>
      <c r="AI312" s="28"/>
      <c r="AJ312" s="29"/>
      <c r="AK312" s="29"/>
      <c r="AL312" s="27"/>
      <c r="AM312" s="27"/>
      <c r="AN312" s="27"/>
      <c r="AO312" s="27"/>
      <c r="AP312" s="27"/>
      <c r="AY312" s="27"/>
      <c r="AZ312" s="27"/>
      <c r="BA312" s="27"/>
      <c r="BB312" s="27"/>
      <c r="BC312" s="28"/>
      <c r="BD312" s="29"/>
      <c r="BE312" s="29"/>
      <c r="BF312" s="27"/>
      <c r="BG312" s="27"/>
      <c r="BH312" s="27"/>
      <c r="BI312" s="27"/>
      <c r="BJ312" s="27"/>
      <c r="BK312" s="27"/>
      <c r="BL312" s="27"/>
      <c r="BM312" s="27"/>
    </row>
    <row r="313">
      <c r="I313" s="27"/>
      <c r="J313" s="27"/>
      <c r="K313" s="27"/>
      <c r="L313" s="27"/>
      <c r="M313" s="28"/>
      <c r="N313" s="29"/>
      <c r="O313" s="29"/>
      <c r="P313" s="29"/>
      <c r="Q313" s="27"/>
      <c r="R313" s="27"/>
      <c r="S313" s="27"/>
      <c r="T313" s="27"/>
      <c r="U313" s="27"/>
      <c r="V313" s="27"/>
      <c r="AE313" s="27"/>
      <c r="AF313" s="27"/>
      <c r="AG313" s="27"/>
      <c r="AH313" s="27"/>
      <c r="AI313" s="28"/>
      <c r="AJ313" s="29"/>
      <c r="AK313" s="29"/>
      <c r="AL313" s="27"/>
      <c r="AM313" s="27"/>
      <c r="AN313" s="27"/>
      <c r="AO313" s="27"/>
      <c r="AP313" s="27"/>
      <c r="AY313" s="27"/>
      <c r="AZ313" s="27"/>
      <c r="BA313" s="27"/>
      <c r="BB313" s="27"/>
      <c r="BC313" s="28"/>
      <c r="BD313" s="29"/>
      <c r="BE313" s="29"/>
      <c r="BF313" s="27"/>
      <c r="BG313" s="27"/>
      <c r="BH313" s="27"/>
      <c r="BI313" s="27"/>
      <c r="BJ313" s="27"/>
      <c r="BK313" s="27"/>
      <c r="BL313" s="27"/>
      <c r="BM313" s="27"/>
    </row>
    <row r="314">
      <c r="I314" s="27"/>
      <c r="J314" s="27"/>
      <c r="K314" s="27"/>
      <c r="L314" s="27"/>
      <c r="M314" s="28"/>
      <c r="N314" s="29"/>
      <c r="O314" s="29"/>
      <c r="P314" s="29"/>
      <c r="Q314" s="27"/>
      <c r="R314" s="27"/>
      <c r="S314" s="27"/>
      <c r="T314" s="27"/>
      <c r="U314" s="27"/>
      <c r="V314" s="27"/>
      <c r="AE314" s="27"/>
      <c r="AF314" s="27"/>
      <c r="AG314" s="27"/>
      <c r="AH314" s="27"/>
      <c r="AI314" s="28"/>
      <c r="AJ314" s="29"/>
      <c r="AK314" s="29"/>
      <c r="AL314" s="27"/>
      <c r="AM314" s="27"/>
      <c r="AN314" s="27"/>
      <c r="AO314" s="27"/>
      <c r="AP314" s="27"/>
      <c r="AY314" s="27"/>
      <c r="AZ314" s="27"/>
      <c r="BA314" s="27"/>
      <c r="BB314" s="27"/>
      <c r="BC314" s="28"/>
      <c r="BD314" s="29"/>
      <c r="BE314" s="29"/>
      <c r="BF314" s="27"/>
      <c r="BG314" s="27"/>
      <c r="BH314" s="27"/>
      <c r="BI314" s="27"/>
      <c r="BJ314" s="27"/>
      <c r="BK314" s="27"/>
      <c r="BL314" s="27"/>
      <c r="BM314" s="27"/>
    </row>
    <row r="315">
      <c r="I315" s="27"/>
      <c r="J315" s="27"/>
      <c r="K315" s="27"/>
      <c r="L315" s="27"/>
      <c r="M315" s="28"/>
      <c r="N315" s="29"/>
      <c r="O315" s="29"/>
      <c r="P315" s="29"/>
      <c r="Q315" s="27"/>
      <c r="R315" s="27"/>
      <c r="S315" s="27"/>
      <c r="T315" s="27"/>
      <c r="U315" s="27"/>
      <c r="V315" s="27"/>
      <c r="AE315" s="27"/>
      <c r="AF315" s="27"/>
      <c r="AG315" s="27"/>
      <c r="AH315" s="27"/>
      <c r="AI315" s="28"/>
      <c r="AJ315" s="29"/>
      <c r="AK315" s="29"/>
      <c r="AL315" s="27"/>
      <c r="AM315" s="27"/>
      <c r="AN315" s="27"/>
      <c r="AO315" s="27"/>
      <c r="AP315" s="27"/>
      <c r="AY315" s="27"/>
      <c r="AZ315" s="27"/>
      <c r="BA315" s="27"/>
      <c r="BB315" s="27"/>
      <c r="BC315" s="28"/>
      <c r="BD315" s="29"/>
      <c r="BE315" s="29"/>
      <c r="BF315" s="27"/>
      <c r="BG315" s="27"/>
      <c r="BH315" s="27"/>
      <c r="BI315" s="27"/>
      <c r="BJ315" s="27"/>
      <c r="BK315" s="27"/>
      <c r="BL315" s="27"/>
      <c r="BM315" s="27"/>
    </row>
    <row r="316">
      <c r="I316" s="27"/>
      <c r="J316" s="27"/>
      <c r="K316" s="27"/>
      <c r="L316" s="27"/>
      <c r="M316" s="28"/>
      <c r="N316" s="29"/>
      <c r="O316" s="29"/>
      <c r="P316" s="29"/>
      <c r="Q316" s="27"/>
      <c r="R316" s="27"/>
      <c r="S316" s="27"/>
      <c r="T316" s="27"/>
      <c r="U316" s="27"/>
      <c r="V316" s="27"/>
      <c r="AE316" s="27"/>
      <c r="AF316" s="27"/>
      <c r="AG316" s="27"/>
      <c r="AH316" s="27"/>
      <c r="AI316" s="28"/>
      <c r="AJ316" s="29"/>
      <c r="AK316" s="29"/>
      <c r="AL316" s="27"/>
      <c r="AM316" s="27"/>
      <c r="AN316" s="27"/>
      <c r="AO316" s="27"/>
      <c r="AP316" s="27"/>
      <c r="AY316" s="27"/>
      <c r="AZ316" s="27"/>
      <c r="BA316" s="27"/>
      <c r="BB316" s="27"/>
      <c r="BC316" s="28"/>
      <c r="BD316" s="29"/>
      <c r="BE316" s="29"/>
      <c r="BF316" s="27"/>
      <c r="BG316" s="27"/>
      <c r="BH316" s="27"/>
      <c r="BI316" s="27"/>
      <c r="BJ316" s="27"/>
      <c r="BK316" s="27"/>
      <c r="BL316" s="27"/>
      <c r="BM316" s="27"/>
    </row>
    <row r="317">
      <c r="I317" s="27"/>
      <c r="J317" s="27"/>
      <c r="K317" s="27"/>
      <c r="L317" s="27"/>
      <c r="M317" s="28"/>
      <c r="N317" s="29"/>
      <c r="O317" s="29"/>
      <c r="P317" s="29"/>
      <c r="Q317" s="27"/>
      <c r="R317" s="27"/>
      <c r="S317" s="27"/>
      <c r="T317" s="27"/>
      <c r="U317" s="27"/>
      <c r="V317" s="27"/>
      <c r="AE317" s="27"/>
      <c r="AF317" s="27"/>
      <c r="AG317" s="27"/>
      <c r="AH317" s="27"/>
      <c r="AI317" s="28"/>
      <c r="AJ317" s="29"/>
      <c r="AK317" s="29"/>
      <c r="AL317" s="27"/>
      <c r="AM317" s="27"/>
      <c r="AN317" s="27"/>
      <c r="AO317" s="27"/>
      <c r="AP317" s="27"/>
      <c r="AY317" s="27"/>
      <c r="AZ317" s="27"/>
      <c r="BA317" s="27"/>
      <c r="BB317" s="27"/>
      <c r="BC317" s="28"/>
      <c r="BD317" s="29"/>
      <c r="BE317" s="29"/>
      <c r="BF317" s="27"/>
      <c r="BG317" s="27"/>
      <c r="BH317" s="27"/>
      <c r="BI317" s="27"/>
      <c r="BJ317" s="27"/>
      <c r="BK317" s="27"/>
      <c r="BL317" s="27"/>
      <c r="BM317" s="27"/>
    </row>
    <row r="318">
      <c r="I318" s="27"/>
      <c r="J318" s="27"/>
      <c r="K318" s="27"/>
      <c r="L318" s="27"/>
      <c r="M318" s="28"/>
      <c r="N318" s="29"/>
      <c r="O318" s="29"/>
      <c r="P318" s="29"/>
      <c r="Q318" s="27"/>
      <c r="R318" s="27"/>
      <c r="S318" s="27"/>
      <c r="T318" s="27"/>
      <c r="U318" s="27"/>
      <c r="V318" s="27"/>
      <c r="AE318" s="27"/>
      <c r="AF318" s="27"/>
      <c r="AG318" s="27"/>
      <c r="AH318" s="27"/>
      <c r="AI318" s="28"/>
      <c r="AJ318" s="29"/>
      <c r="AK318" s="29"/>
      <c r="AL318" s="27"/>
      <c r="AM318" s="27"/>
      <c r="AN318" s="27"/>
      <c r="AO318" s="27"/>
      <c r="AP318" s="27"/>
      <c r="AY318" s="27"/>
      <c r="AZ318" s="27"/>
      <c r="BA318" s="27"/>
      <c r="BB318" s="27"/>
      <c r="BC318" s="28"/>
      <c r="BD318" s="29"/>
      <c r="BE318" s="29"/>
      <c r="BF318" s="27"/>
      <c r="BG318" s="27"/>
      <c r="BH318" s="27"/>
      <c r="BI318" s="27"/>
      <c r="BJ318" s="27"/>
      <c r="BK318" s="27"/>
      <c r="BL318" s="27"/>
      <c r="BM318" s="27"/>
    </row>
    <row r="319">
      <c r="I319" s="27"/>
      <c r="J319" s="27"/>
      <c r="K319" s="27"/>
      <c r="L319" s="27"/>
      <c r="M319" s="28"/>
      <c r="N319" s="29"/>
      <c r="O319" s="29"/>
      <c r="P319" s="29"/>
      <c r="Q319" s="27"/>
      <c r="R319" s="27"/>
      <c r="S319" s="27"/>
      <c r="T319" s="27"/>
      <c r="U319" s="27"/>
      <c r="V319" s="27"/>
      <c r="AE319" s="27"/>
      <c r="AF319" s="27"/>
      <c r="AG319" s="27"/>
      <c r="AH319" s="27"/>
      <c r="AI319" s="28"/>
      <c r="AJ319" s="29"/>
      <c r="AK319" s="29"/>
      <c r="AL319" s="27"/>
      <c r="AM319" s="27"/>
      <c r="AN319" s="27"/>
      <c r="AO319" s="27"/>
      <c r="AP319" s="27"/>
      <c r="AY319" s="27"/>
      <c r="AZ319" s="27"/>
      <c r="BA319" s="27"/>
      <c r="BB319" s="27"/>
      <c r="BC319" s="28"/>
      <c r="BD319" s="29"/>
      <c r="BE319" s="29"/>
      <c r="BF319" s="27"/>
      <c r="BG319" s="27"/>
      <c r="BH319" s="27"/>
      <c r="BI319" s="27"/>
      <c r="BJ319" s="27"/>
      <c r="BK319" s="27"/>
      <c r="BL319" s="27"/>
      <c r="BM319" s="27"/>
    </row>
    <row r="320">
      <c r="I320" s="27"/>
      <c r="J320" s="27"/>
      <c r="K320" s="27"/>
      <c r="L320" s="27"/>
      <c r="M320" s="28"/>
      <c r="N320" s="29"/>
      <c r="O320" s="29"/>
      <c r="P320" s="29"/>
      <c r="Q320" s="27"/>
      <c r="R320" s="27"/>
      <c r="S320" s="27"/>
      <c r="T320" s="27"/>
      <c r="U320" s="27"/>
      <c r="V320" s="27"/>
      <c r="AE320" s="27"/>
      <c r="AF320" s="27"/>
      <c r="AG320" s="27"/>
      <c r="AH320" s="27"/>
      <c r="AI320" s="28"/>
      <c r="AJ320" s="29"/>
      <c r="AK320" s="29"/>
      <c r="AL320" s="27"/>
      <c r="AM320" s="27"/>
      <c r="AN320" s="27"/>
      <c r="AO320" s="27"/>
      <c r="AP320" s="27"/>
      <c r="AY320" s="27"/>
      <c r="AZ320" s="27"/>
      <c r="BA320" s="27"/>
      <c r="BB320" s="27"/>
      <c r="BC320" s="28"/>
      <c r="BD320" s="29"/>
      <c r="BE320" s="29"/>
      <c r="BF320" s="27"/>
      <c r="BG320" s="27"/>
      <c r="BH320" s="27"/>
      <c r="BI320" s="27"/>
      <c r="BJ320" s="27"/>
      <c r="BK320" s="27"/>
      <c r="BL320" s="27"/>
      <c r="BM320" s="27"/>
    </row>
    <row r="321">
      <c r="I321" s="27"/>
      <c r="J321" s="27"/>
      <c r="K321" s="27"/>
      <c r="L321" s="27"/>
      <c r="M321" s="28"/>
      <c r="N321" s="29"/>
      <c r="O321" s="29"/>
      <c r="P321" s="29"/>
      <c r="Q321" s="27"/>
      <c r="R321" s="27"/>
      <c r="S321" s="27"/>
      <c r="T321" s="27"/>
      <c r="U321" s="27"/>
      <c r="V321" s="27"/>
      <c r="AE321" s="27"/>
      <c r="AF321" s="27"/>
      <c r="AG321" s="27"/>
      <c r="AH321" s="27"/>
      <c r="AI321" s="28"/>
      <c r="AJ321" s="29"/>
      <c r="AK321" s="29"/>
      <c r="AL321" s="27"/>
      <c r="AM321" s="27"/>
      <c r="AN321" s="27"/>
      <c r="AO321" s="27"/>
      <c r="AP321" s="27"/>
      <c r="AY321" s="27"/>
      <c r="AZ321" s="27"/>
      <c r="BA321" s="27"/>
      <c r="BB321" s="27"/>
      <c r="BC321" s="28"/>
      <c r="BD321" s="29"/>
      <c r="BE321" s="29"/>
      <c r="BF321" s="27"/>
      <c r="BG321" s="27"/>
      <c r="BH321" s="27"/>
      <c r="BI321" s="27"/>
      <c r="BJ321" s="27"/>
      <c r="BK321" s="27"/>
      <c r="BL321" s="27"/>
      <c r="BM321" s="27"/>
    </row>
    <row r="322">
      <c r="I322" s="27"/>
      <c r="J322" s="27"/>
      <c r="K322" s="27"/>
      <c r="L322" s="27"/>
      <c r="M322" s="28"/>
      <c r="N322" s="29"/>
      <c r="O322" s="29"/>
      <c r="P322" s="29"/>
      <c r="Q322" s="27"/>
      <c r="R322" s="27"/>
      <c r="S322" s="27"/>
      <c r="T322" s="27"/>
      <c r="U322" s="27"/>
      <c r="V322" s="27"/>
      <c r="AE322" s="27"/>
      <c r="AF322" s="27"/>
      <c r="AG322" s="27"/>
      <c r="AH322" s="27"/>
      <c r="AI322" s="28"/>
      <c r="AJ322" s="29"/>
      <c r="AK322" s="29"/>
      <c r="AL322" s="27"/>
      <c r="AM322" s="27"/>
      <c r="AN322" s="27"/>
      <c r="AO322" s="27"/>
      <c r="AP322" s="27"/>
      <c r="AY322" s="27"/>
      <c r="AZ322" s="27"/>
      <c r="BA322" s="27"/>
      <c r="BB322" s="27"/>
      <c r="BC322" s="28"/>
      <c r="BD322" s="29"/>
      <c r="BE322" s="29"/>
      <c r="BF322" s="27"/>
      <c r="BG322" s="27"/>
      <c r="BH322" s="27"/>
      <c r="BI322" s="27"/>
      <c r="BJ322" s="27"/>
      <c r="BK322" s="27"/>
      <c r="BL322" s="27"/>
      <c r="BM322" s="27"/>
    </row>
    <row r="323">
      <c r="I323" s="27"/>
      <c r="J323" s="27"/>
      <c r="K323" s="27"/>
      <c r="L323" s="27"/>
      <c r="M323" s="28"/>
      <c r="N323" s="29"/>
      <c r="O323" s="29"/>
      <c r="P323" s="29"/>
      <c r="Q323" s="27"/>
      <c r="R323" s="27"/>
      <c r="S323" s="27"/>
      <c r="T323" s="27"/>
      <c r="U323" s="27"/>
      <c r="V323" s="27"/>
      <c r="AE323" s="27"/>
      <c r="AF323" s="27"/>
      <c r="AG323" s="27"/>
      <c r="AH323" s="27"/>
      <c r="AI323" s="28"/>
      <c r="AJ323" s="29"/>
      <c r="AK323" s="29"/>
      <c r="AL323" s="27"/>
      <c r="AM323" s="27"/>
      <c r="AN323" s="27"/>
      <c r="AO323" s="27"/>
      <c r="AP323" s="27"/>
      <c r="AY323" s="27"/>
      <c r="AZ323" s="27"/>
      <c r="BA323" s="27"/>
      <c r="BB323" s="27"/>
      <c r="BC323" s="28"/>
      <c r="BD323" s="29"/>
      <c r="BE323" s="29"/>
      <c r="BF323" s="27"/>
      <c r="BG323" s="27"/>
      <c r="BH323" s="27"/>
      <c r="BI323" s="27"/>
      <c r="BJ323" s="27"/>
      <c r="BK323" s="27"/>
      <c r="BL323" s="27"/>
      <c r="BM323" s="27"/>
    </row>
    <row r="324">
      <c r="I324" s="27"/>
      <c r="J324" s="27"/>
      <c r="K324" s="27"/>
      <c r="L324" s="27"/>
      <c r="M324" s="28"/>
      <c r="N324" s="29"/>
      <c r="O324" s="29"/>
      <c r="P324" s="29"/>
      <c r="Q324" s="27"/>
      <c r="R324" s="27"/>
      <c r="S324" s="27"/>
      <c r="T324" s="27"/>
      <c r="U324" s="27"/>
      <c r="V324" s="27"/>
      <c r="AE324" s="27"/>
      <c r="AF324" s="27"/>
      <c r="AG324" s="27"/>
      <c r="AH324" s="27"/>
      <c r="AI324" s="28"/>
      <c r="AJ324" s="29"/>
      <c r="AK324" s="29"/>
      <c r="AL324" s="27"/>
      <c r="AM324" s="27"/>
      <c r="AN324" s="27"/>
      <c r="AO324" s="27"/>
      <c r="AP324" s="27"/>
      <c r="AY324" s="27"/>
      <c r="AZ324" s="27"/>
      <c r="BA324" s="27"/>
      <c r="BB324" s="27"/>
      <c r="BC324" s="28"/>
      <c r="BD324" s="29"/>
      <c r="BE324" s="29"/>
      <c r="BF324" s="27"/>
      <c r="BG324" s="27"/>
      <c r="BH324" s="27"/>
      <c r="BI324" s="27"/>
      <c r="BJ324" s="27"/>
      <c r="BK324" s="27"/>
      <c r="BL324" s="27"/>
      <c r="BM324" s="27"/>
    </row>
    <row r="325">
      <c r="I325" s="27"/>
      <c r="J325" s="27"/>
      <c r="K325" s="27"/>
      <c r="L325" s="27"/>
      <c r="M325" s="28"/>
      <c r="N325" s="29"/>
      <c r="O325" s="29"/>
      <c r="P325" s="29"/>
      <c r="Q325" s="27"/>
      <c r="R325" s="27"/>
      <c r="S325" s="27"/>
      <c r="T325" s="27"/>
      <c r="U325" s="27"/>
      <c r="V325" s="27"/>
      <c r="AE325" s="27"/>
      <c r="AF325" s="27"/>
      <c r="AG325" s="27"/>
      <c r="AH325" s="27"/>
      <c r="AI325" s="28"/>
      <c r="AJ325" s="29"/>
      <c r="AK325" s="29"/>
      <c r="AL325" s="27"/>
      <c r="AM325" s="27"/>
      <c r="AN325" s="27"/>
      <c r="AO325" s="27"/>
      <c r="AP325" s="27"/>
      <c r="AY325" s="27"/>
      <c r="AZ325" s="27"/>
      <c r="BA325" s="27"/>
      <c r="BB325" s="27"/>
      <c r="BC325" s="28"/>
      <c r="BD325" s="29"/>
      <c r="BE325" s="29"/>
      <c r="BF325" s="27"/>
      <c r="BG325" s="27"/>
      <c r="BH325" s="27"/>
      <c r="BI325" s="27"/>
      <c r="BJ325" s="27"/>
      <c r="BK325" s="27"/>
      <c r="BL325" s="27"/>
      <c r="BM325" s="27"/>
    </row>
    <row r="326">
      <c r="I326" s="27"/>
      <c r="J326" s="27"/>
      <c r="K326" s="27"/>
      <c r="L326" s="27"/>
      <c r="M326" s="28"/>
      <c r="N326" s="29"/>
      <c r="O326" s="29"/>
      <c r="P326" s="29"/>
      <c r="Q326" s="27"/>
      <c r="R326" s="27"/>
      <c r="S326" s="27"/>
      <c r="T326" s="27"/>
      <c r="U326" s="27"/>
      <c r="V326" s="27"/>
      <c r="AE326" s="27"/>
      <c r="AF326" s="27"/>
      <c r="AG326" s="27"/>
      <c r="AH326" s="27"/>
      <c r="AI326" s="28"/>
      <c r="AJ326" s="29"/>
      <c r="AK326" s="29"/>
      <c r="AL326" s="27"/>
      <c r="AM326" s="27"/>
      <c r="AN326" s="27"/>
      <c r="AO326" s="27"/>
      <c r="AP326" s="27"/>
      <c r="AY326" s="27"/>
      <c r="AZ326" s="27"/>
      <c r="BA326" s="27"/>
      <c r="BB326" s="27"/>
      <c r="BC326" s="28"/>
      <c r="BD326" s="29"/>
      <c r="BE326" s="29"/>
      <c r="BF326" s="27"/>
      <c r="BG326" s="27"/>
      <c r="BH326" s="27"/>
      <c r="BI326" s="27"/>
      <c r="BJ326" s="27"/>
      <c r="BK326" s="27"/>
      <c r="BL326" s="27"/>
      <c r="BM326" s="27"/>
    </row>
    <row r="327">
      <c r="I327" s="27"/>
      <c r="J327" s="27"/>
      <c r="K327" s="27"/>
      <c r="L327" s="27"/>
      <c r="M327" s="28"/>
      <c r="N327" s="29"/>
      <c r="O327" s="29"/>
      <c r="P327" s="29"/>
      <c r="Q327" s="27"/>
      <c r="R327" s="27"/>
      <c r="S327" s="27"/>
      <c r="T327" s="27"/>
      <c r="U327" s="27"/>
      <c r="V327" s="27"/>
      <c r="AE327" s="27"/>
      <c r="AF327" s="27"/>
      <c r="AG327" s="27"/>
      <c r="AH327" s="27"/>
      <c r="AI327" s="28"/>
      <c r="AJ327" s="29"/>
      <c r="AK327" s="29"/>
      <c r="AL327" s="27"/>
      <c r="AM327" s="27"/>
      <c r="AN327" s="27"/>
      <c r="AO327" s="27"/>
      <c r="AP327" s="27"/>
      <c r="AY327" s="27"/>
      <c r="AZ327" s="27"/>
      <c r="BA327" s="27"/>
      <c r="BB327" s="27"/>
      <c r="BC327" s="28"/>
      <c r="BD327" s="29"/>
      <c r="BE327" s="29"/>
      <c r="BF327" s="27"/>
      <c r="BG327" s="27"/>
      <c r="BH327" s="27"/>
      <c r="BI327" s="27"/>
      <c r="BJ327" s="27"/>
      <c r="BK327" s="27"/>
      <c r="BL327" s="27"/>
      <c r="BM327" s="27"/>
    </row>
    <row r="328">
      <c r="I328" s="27"/>
      <c r="J328" s="27"/>
      <c r="K328" s="27"/>
      <c r="L328" s="27"/>
      <c r="M328" s="28"/>
      <c r="N328" s="29"/>
      <c r="O328" s="29"/>
      <c r="P328" s="29"/>
      <c r="Q328" s="27"/>
      <c r="R328" s="27"/>
      <c r="S328" s="27"/>
      <c r="T328" s="27"/>
      <c r="U328" s="27"/>
      <c r="V328" s="27"/>
      <c r="AE328" s="27"/>
      <c r="AF328" s="27"/>
      <c r="AG328" s="27"/>
      <c r="AH328" s="27"/>
      <c r="AI328" s="28"/>
      <c r="AJ328" s="29"/>
      <c r="AK328" s="29"/>
      <c r="AL328" s="27"/>
      <c r="AM328" s="27"/>
      <c r="AN328" s="27"/>
      <c r="AO328" s="27"/>
      <c r="AP328" s="27"/>
      <c r="AY328" s="27"/>
      <c r="AZ328" s="27"/>
      <c r="BA328" s="27"/>
      <c r="BB328" s="27"/>
      <c r="BC328" s="28"/>
      <c r="BD328" s="29"/>
      <c r="BE328" s="29"/>
      <c r="BF328" s="27"/>
      <c r="BG328" s="27"/>
      <c r="BH328" s="27"/>
      <c r="BI328" s="27"/>
      <c r="BJ328" s="27"/>
      <c r="BK328" s="27"/>
      <c r="BL328" s="27"/>
      <c r="BM328" s="27"/>
    </row>
    <row r="329">
      <c r="I329" s="27"/>
      <c r="J329" s="27"/>
      <c r="K329" s="27"/>
      <c r="L329" s="27"/>
      <c r="M329" s="28"/>
      <c r="N329" s="29"/>
      <c r="O329" s="29"/>
      <c r="P329" s="29"/>
      <c r="Q329" s="27"/>
      <c r="R329" s="27"/>
      <c r="S329" s="27"/>
      <c r="T329" s="27"/>
      <c r="U329" s="27"/>
      <c r="V329" s="27"/>
      <c r="AE329" s="27"/>
      <c r="AF329" s="27"/>
      <c r="AG329" s="27"/>
      <c r="AH329" s="27"/>
      <c r="AI329" s="28"/>
      <c r="AJ329" s="29"/>
      <c r="AK329" s="29"/>
      <c r="AL329" s="27"/>
      <c r="AM329" s="27"/>
      <c r="AN329" s="27"/>
      <c r="AO329" s="27"/>
      <c r="AP329" s="27"/>
      <c r="AY329" s="27"/>
      <c r="AZ329" s="27"/>
      <c r="BA329" s="27"/>
      <c r="BB329" s="27"/>
      <c r="BC329" s="28"/>
      <c r="BD329" s="29"/>
      <c r="BE329" s="29"/>
      <c r="BF329" s="27"/>
      <c r="BG329" s="27"/>
      <c r="BH329" s="27"/>
      <c r="BI329" s="27"/>
      <c r="BJ329" s="27"/>
      <c r="BK329" s="27"/>
      <c r="BL329" s="27"/>
      <c r="BM329" s="27"/>
    </row>
    <row r="330">
      <c r="I330" s="27"/>
      <c r="J330" s="27"/>
      <c r="K330" s="27"/>
      <c r="L330" s="27"/>
      <c r="M330" s="28"/>
      <c r="N330" s="29"/>
      <c r="O330" s="29"/>
      <c r="P330" s="29"/>
      <c r="Q330" s="27"/>
      <c r="R330" s="27"/>
      <c r="S330" s="27"/>
      <c r="T330" s="27"/>
      <c r="U330" s="27"/>
      <c r="V330" s="27"/>
      <c r="AE330" s="27"/>
      <c r="AF330" s="27"/>
      <c r="AG330" s="27"/>
      <c r="AH330" s="27"/>
      <c r="AI330" s="28"/>
      <c r="AJ330" s="29"/>
      <c r="AK330" s="29"/>
      <c r="AL330" s="27"/>
      <c r="AM330" s="27"/>
      <c r="AN330" s="27"/>
      <c r="AO330" s="27"/>
      <c r="AP330" s="27"/>
      <c r="AY330" s="27"/>
      <c r="AZ330" s="27"/>
      <c r="BA330" s="27"/>
      <c r="BB330" s="27"/>
      <c r="BC330" s="28"/>
      <c r="BD330" s="29"/>
      <c r="BE330" s="29"/>
      <c r="BF330" s="27"/>
      <c r="BG330" s="27"/>
      <c r="BH330" s="27"/>
      <c r="BI330" s="27"/>
      <c r="BJ330" s="27"/>
      <c r="BK330" s="27"/>
      <c r="BL330" s="27"/>
      <c r="BM330" s="27"/>
    </row>
    <row r="331">
      <c r="I331" s="27"/>
      <c r="J331" s="27"/>
      <c r="K331" s="27"/>
      <c r="L331" s="27"/>
      <c r="M331" s="28"/>
      <c r="N331" s="29"/>
      <c r="O331" s="29"/>
      <c r="P331" s="29"/>
      <c r="Q331" s="27"/>
      <c r="R331" s="27"/>
      <c r="S331" s="27"/>
      <c r="T331" s="27"/>
      <c r="U331" s="27"/>
      <c r="V331" s="27"/>
      <c r="AE331" s="27"/>
      <c r="AF331" s="27"/>
      <c r="AG331" s="27"/>
      <c r="AH331" s="27"/>
      <c r="AI331" s="28"/>
      <c r="AJ331" s="29"/>
      <c r="AK331" s="29"/>
      <c r="AL331" s="27"/>
      <c r="AM331" s="27"/>
      <c r="AN331" s="27"/>
      <c r="AO331" s="27"/>
      <c r="AP331" s="27"/>
      <c r="AY331" s="27"/>
      <c r="AZ331" s="27"/>
      <c r="BA331" s="27"/>
      <c r="BB331" s="27"/>
      <c r="BC331" s="28"/>
      <c r="BD331" s="29"/>
      <c r="BE331" s="29"/>
      <c r="BF331" s="27"/>
      <c r="BG331" s="27"/>
      <c r="BH331" s="27"/>
      <c r="BI331" s="27"/>
      <c r="BJ331" s="27"/>
      <c r="BK331" s="27"/>
      <c r="BL331" s="27"/>
      <c r="BM331" s="27"/>
    </row>
    <row r="332">
      <c r="I332" s="27"/>
      <c r="J332" s="27"/>
      <c r="K332" s="27"/>
      <c r="L332" s="27"/>
      <c r="M332" s="28"/>
      <c r="N332" s="29"/>
      <c r="O332" s="29"/>
      <c r="P332" s="29"/>
      <c r="Q332" s="27"/>
      <c r="R332" s="27"/>
      <c r="S332" s="27"/>
      <c r="T332" s="27"/>
      <c r="U332" s="27"/>
      <c r="V332" s="27"/>
      <c r="AE332" s="27"/>
      <c r="AF332" s="27"/>
      <c r="AG332" s="27"/>
      <c r="AH332" s="27"/>
      <c r="AI332" s="28"/>
      <c r="AJ332" s="29"/>
      <c r="AK332" s="29"/>
      <c r="AL332" s="27"/>
      <c r="AM332" s="27"/>
      <c r="AN332" s="27"/>
      <c r="AO332" s="27"/>
      <c r="AP332" s="27"/>
      <c r="AY332" s="27"/>
      <c r="AZ332" s="27"/>
      <c r="BA332" s="27"/>
      <c r="BB332" s="27"/>
      <c r="BC332" s="28"/>
      <c r="BD332" s="29"/>
      <c r="BE332" s="29"/>
      <c r="BF332" s="27"/>
      <c r="BG332" s="27"/>
      <c r="BH332" s="27"/>
      <c r="BI332" s="27"/>
      <c r="BJ332" s="27"/>
      <c r="BK332" s="27"/>
      <c r="BL332" s="27"/>
      <c r="BM332" s="27"/>
    </row>
    <row r="333">
      <c r="I333" s="27"/>
      <c r="J333" s="27"/>
      <c r="K333" s="27"/>
      <c r="L333" s="27"/>
      <c r="M333" s="28"/>
      <c r="N333" s="29"/>
      <c r="O333" s="29"/>
      <c r="P333" s="29"/>
      <c r="Q333" s="27"/>
      <c r="R333" s="27"/>
      <c r="S333" s="27"/>
      <c r="T333" s="27"/>
      <c r="U333" s="27"/>
      <c r="V333" s="27"/>
      <c r="AE333" s="27"/>
      <c r="AF333" s="27"/>
      <c r="AG333" s="27"/>
      <c r="AH333" s="27"/>
      <c r="AI333" s="28"/>
      <c r="AJ333" s="29"/>
      <c r="AK333" s="29"/>
      <c r="AL333" s="27"/>
      <c r="AM333" s="27"/>
      <c r="AN333" s="27"/>
      <c r="AO333" s="27"/>
      <c r="AP333" s="27"/>
      <c r="AY333" s="27"/>
      <c r="AZ333" s="27"/>
      <c r="BA333" s="27"/>
      <c r="BB333" s="27"/>
      <c r="BC333" s="28"/>
      <c r="BD333" s="29"/>
      <c r="BE333" s="29"/>
      <c r="BF333" s="27"/>
      <c r="BG333" s="27"/>
      <c r="BH333" s="27"/>
      <c r="BI333" s="27"/>
      <c r="BJ333" s="27"/>
      <c r="BK333" s="27"/>
      <c r="BL333" s="27"/>
      <c r="BM333" s="27"/>
    </row>
    <row r="334">
      <c r="I334" s="27"/>
      <c r="J334" s="27"/>
      <c r="K334" s="27"/>
      <c r="L334" s="27"/>
      <c r="M334" s="28"/>
      <c r="N334" s="29"/>
      <c r="O334" s="29"/>
      <c r="P334" s="29"/>
      <c r="Q334" s="27"/>
      <c r="R334" s="27"/>
      <c r="S334" s="27"/>
      <c r="T334" s="27"/>
      <c r="U334" s="27"/>
      <c r="V334" s="27"/>
      <c r="AE334" s="27"/>
      <c r="AF334" s="27"/>
      <c r="AG334" s="27"/>
      <c r="AH334" s="27"/>
      <c r="AI334" s="28"/>
      <c r="AJ334" s="29"/>
      <c r="AK334" s="29"/>
      <c r="AL334" s="27"/>
      <c r="AM334" s="27"/>
      <c r="AN334" s="27"/>
      <c r="AO334" s="27"/>
      <c r="AP334" s="27"/>
      <c r="AY334" s="27"/>
      <c r="AZ334" s="27"/>
      <c r="BA334" s="27"/>
      <c r="BB334" s="27"/>
      <c r="BC334" s="28"/>
      <c r="BD334" s="29"/>
      <c r="BE334" s="29"/>
      <c r="BF334" s="27"/>
      <c r="BG334" s="27"/>
      <c r="BH334" s="27"/>
      <c r="BI334" s="27"/>
      <c r="BJ334" s="27"/>
      <c r="BK334" s="27"/>
      <c r="BL334" s="27"/>
      <c r="BM334" s="27"/>
    </row>
    <row r="335">
      <c r="I335" s="27"/>
      <c r="J335" s="27"/>
      <c r="K335" s="27"/>
      <c r="L335" s="27"/>
      <c r="M335" s="28"/>
      <c r="N335" s="29"/>
      <c r="O335" s="29"/>
      <c r="P335" s="29"/>
      <c r="Q335" s="27"/>
      <c r="R335" s="27"/>
      <c r="S335" s="27"/>
      <c r="T335" s="27"/>
      <c r="U335" s="27"/>
      <c r="V335" s="27"/>
      <c r="AE335" s="27"/>
      <c r="AF335" s="27"/>
      <c r="AG335" s="27"/>
      <c r="AH335" s="27"/>
      <c r="AI335" s="28"/>
      <c r="AJ335" s="29"/>
      <c r="AK335" s="29"/>
      <c r="AL335" s="27"/>
      <c r="AM335" s="27"/>
      <c r="AN335" s="27"/>
      <c r="AO335" s="27"/>
      <c r="AP335" s="27"/>
      <c r="AY335" s="27"/>
      <c r="AZ335" s="27"/>
      <c r="BA335" s="27"/>
      <c r="BB335" s="27"/>
      <c r="BC335" s="28"/>
      <c r="BD335" s="29"/>
      <c r="BE335" s="29"/>
      <c r="BF335" s="27"/>
      <c r="BG335" s="27"/>
      <c r="BH335" s="27"/>
      <c r="BI335" s="27"/>
      <c r="BJ335" s="27"/>
      <c r="BK335" s="27"/>
      <c r="BL335" s="27"/>
      <c r="BM335" s="27"/>
    </row>
    <row r="336">
      <c r="I336" s="27"/>
      <c r="J336" s="27"/>
      <c r="K336" s="27"/>
      <c r="L336" s="27"/>
      <c r="M336" s="28"/>
      <c r="N336" s="29"/>
      <c r="O336" s="29"/>
      <c r="P336" s="29"/>
      <c r="Q336" s="27"/>
      <c r="R336" s="27"/>
      <c r="S336" s="27"/>
      <c r="T336" s="27"/>
      <c r="U336" s="27"/>
      <c r="V336" s="27"/>
      <c r="AE336" s="27"/>
      <c r="AF336" s="27"/>
      <c r="AG336" s="27"/>
      <c r="AH336" s="27"/>
      <c r="AI336" s="28"/>
      <c r="AJ336" s="29"/>
      <c r="AK336" s="29"/>
      <c r="AL336" s="27"/>
      <c r="AM336" s="27"/>
      <c r="AN336" s="27"/>
      <c r="AO336" s="27"/>
      <c r="AP336" s="27"/>
      <c r="AY336" s="27"/>
      <c r="AZ336" s="27"/>
      <c r="BA336" s="27"/>
      <c r="BB336" s="27"/>
      <c r="BC336" s="28"/>
      <c r="BD336" s="29"/>
      <c r="BE336" s="29"/>
      <c r="BF336" s="27"/>
      <c r="BG336" s="27"/>
      <c r="BH336" s="27"/>
      <c r="BI336" s="27"/>
      <c r="BJ336" s="27"/>
      <c r="BK336" s="27"/>
      <c r="BL336" s="27"/>
      <c r="BM336" s="27"/>
    </row>
    <row r="337">
      <c r="I337" s="27"/>
      <c r="J337" s="27"/>
      <c r="K337" s="27"/>
      <c r="L337" s="27"/>
      <c r="M337" s="28"/>
      <c r="N337" s="29"/>
      <c r="O337" s="29"/>
      <c r="P337" s="29"/>
      <c r="Q337" s="27"/>
      <c r="R337" s="27"/>
      <c r="S337" s="27"/>
      <c r="T337" s="27"/>
      <c r="U337" s="27"/>
      <c r="V337" s="27"/>
      <c r="AE337" s="27"/>
      <c r="AF337" s="27"/>
      <c r="AG337" s="27"/>
      <c r="AH337" s="27"/>
      <c r="AI337" s="28"/>
      <c r="AJ337" s="29"/>
      <c r="AK337" s="29"/>
      <c r="AL337" s="27"/>
      <c r="AM337" s="27"/>
      <c r="AN337" s="27"/>
      <c r="AO337" s="27"/>
      <c r="AP337" s="27"/>
      <c r="AY337" s="27"/>
      <c r="AZ337" s="27"/>
      <c r="BA337" s="27"/>
      <c r="BB337" s="27"/>
      <c r="BC337" s="28"/>
      <c r="BD337" s="29"/>
      <c r="BE337" s="29"/>
      <c r="BF337" s="27"/>
      <c r="BG337" s="27"/>
      <c r="BH337" s="27"/>
      <c r="BI337" s="27"/>
      <c r="BJ337" s="27"/>
      <c r="BK337" s="27"/>
      <c r="BL337" s="27"/>
      <c r="BM337" s="27"/>
    </row>
    <row r="338">
      <c r="I338" s="27"/>
      <c r="J338" s="27"/>
      <c r="K338" s="27"/>
      <c r="L338" s="27"/>
      <c r="M338" s="28"/>
      <c r="N338" s="29"/>
      <c r="O338" s="29"/>
      <c r="P338" s="29"/>
      <c r="Q338" s="27"/>
      <c r="R338" s="27"/>
      <c r="S338" s="27"/>
      <c r="T338" s="27"/>
      <c r="U338" s="27"/>
      <c r="V338" s="27"/>
      <c r="AE338" s="27"/>
      <c r="AF338" s="27"/>
      <c r="AG338" s="27"/>
      <c r="AH338" s="27"/>
      <c r="AI338" s="28"/>
      <c r="AJ338" s="29"/>
      <c r="AK338" s="29"/>
      <c r="AL338" s="27"/>
      <c r="AM338" s="27"/>
      <c r="AN338" s="27"/>
      <c r="AO338" s="27"/>
      <c r="AP338" s="27"/>
      <c r="AY338" s="27"/>
      <c r="AZ338" s="27"/>
      <c r="BA338" s="27"/>
      <c r="BB338" s="27"/>
      <c r="BC338" s="28"/>
      <c r="BD338" s="29"/>
      <c r="BE338" s="29"/>
      <c r="BF338" s="27"/>
      <c r="BG338" s="27"/>
      <c r="BH338" s="27"/>
      <c r="BI338" s="27"/>
      <c r="BJ338" s="27"/>
      <c r="BK338" s="27"/>
      <c r="BL338" s="27"/>
      <c r="BM338" s="27"/>
    </row>
    <row r="339">
      <c r="I339" s="27"/>
      <c r="J339" s="27"/>
      <c r="K339" s="27"/>
      <c r="L339" s="27"/>
      <c r="M339" s="28"/>
      <c r="N339" s="29"/>
      <c r="O339" s="29"/>
      <c r="P339" s="29"/>
      <c r="Q339" s="27"/>
      <c r="R339" s="27"/>
      <c r="S339" s="27"/>
      <c r="T339" s="27"/>
      <c r="U339" s="27"/>
      <c r="V339" s="27"/>
      <c r="AE339" s="27"/>
      <c r="AF339" s="27"/>
      <c r="AG339" s="27"/>
      <c r="AH339" s="27"/>
      <c r="AI339" s="28"/>
      <c r="AJ339" s="29"/>
      <c r="AK339" s="29"/>
      <c r="AL339" s="27"/>
      <c r="AM339" s="27"/>
      <c r="AN339" s="27"/>
      <c r="AO339" s="27"/>
      <c r="AP339" s="27"/>
      <c r="AY339" s="27"/>
      <c r="AZ339" s="27"/>
      <c r="BA339" s="27"/>
      <c r="BB339" s="27"/>
      <c r="BC339" s="28"/>
      <c r="BD339" s="29"/>
      <c r="BE339" s="29"/>
      <c r="BF339" s="27"/>
      <c r="BG339" s="27"/>
      <c r="BH339" s="27"/>
      <c r="BI339" s="27"/>
      <c r="BJ339" s="27"/>
      <c r="BK339" s="27"/>
      <c r="BL339" s="27"/>
      <c r="BM339" s="27"/>
    </row>
    <row r="340">
      <c r="I340" s="27"/>
      <c r="J340" s="27"/>
      <c r="K340" s="27"/>
      <c r="L340" s="27"/>
      <c r="M340" s="28"/>
      <c r="N340" s="29"/>
      <c r="O340" s="29"/>
      <c r="P340" s="29"/>
      <c r="Q340" s="27"/>
      <c r="R340" s="27"/>
      <c r="S340" s="27"/>
      <c r="T340" s="27"/>
      <c r="U340" s="27"/>
      <c r="V340" s="27"/>
      <c r="AE340" s="27"/>
      <c r="AF340" s="27"/>
      <c r="AG340" s="27"/>
      <c r="AH340" s="27"/>
      <c r="AI340" s="28"/>
      <c r="AJ340" s="29"/>
      <c r="AK340" s="29"/>
      <c r="AL340" s="27"/>
      <c r="AM340" s="27"/>
      <c r="AN340" s="27"/>
      <c r="AO340" s="27"/>
      <c r="AP340" s="27"/>
      <c r="AY340" s="27"/>
      <c r="AZ340" s="27"/>
      <c r="BA340" s="27"/>
      <c r="BB340" s="27"/>
      <c r="BC340" s="28"/>
      <c r="BD340" s="29"/>
      <c r="BE340" s="29"/>
      <c r="BF340" s="27"/>
      <c r="BG340" s="27"/>
      <c r="BH340" s="27"/>
      <c r="BI340" s="27"/>
      <c r="BJ340" s="27"/>
      <c r="BK340" s="27"/>
      <c r="BL340" s="27"/>
      <c r="BM340" s="27"/>
    </row>
    <row r="341">
      <c r="I341" s="27"/>
      <c r="J341" s="27"/>
      <c r="K341" s="27"/>
      <c r="L341" s="27"/>
      <c r="M341" s="28"/>
      <c r="N341" s="29"/>
      <c r="O341" s="29"/>
      <c r="P341" s="29"/>
      <c r="Q341" s="27"/>
      <c r="R341" s="27"/>
      <c r="S341" s="27"/>
      <c r="T341" s="27"/>
      <c r="U341" s="27"/>
      <c r="V341" s="27"/>
      <c r="AE341" s="27"/>
      <c r="AF341" s="27"/>
      <c r="AG341" s="27"/>
      <c r="AH341" s="27"/>
      <c r="AI341" s="28"/>
      <c r="AJ341" s="29"/>
      <c r="AK341" s="29"/>
      <c r="AL341" s="27"/>
      <c r="AM341" s="27"/>
      <c r="AN341" s="27"/>
      <c r="AO341" s="27"/>
      <c r="AP341" s="27"/>
      <c r="AY341" s="27"/>
      <c r="AZ341" s="27"/>
      <c r="BA341" s="27"/>
      <c r="BB341" s="27"/>
      <c r="BC341" s="28"/>
      <c r="BD341" s="29"/>
      <c r="BE341" s="29"/>
      <c r="BF341" s="27"/>
      <c r="BG341" s="27"/>
      <c r="BH341" s="27"/>
      <c r="BI341" s="27"/>
      <c r="BJ341" s="27"/>
      <c r="BK341" s="27"/>
      <c r="BL341" s="27"/>
      <c r="BM341" s="27"/>
    </row>
    <row r="342">
      <c r="I342" s="27"/>
      <c r="J342" s="27"/>
      <c r="K342" s="27"/>
      <c r="L342" s="27"/>
      <c r="M342" s="28"/>
      <c r="N342" s="29"/>
      <c r="O342" s="29"/>
      <c r="P342" s="29"/>
      <c r="Q342" s="27"/>
      <c r="R342" s="27"/>
      <c r="S342" s="27"/>
      <c r="T342" s="27"/>
      <c r="U342" s="27"/>
      <c r="V342" s="27"/>
      <c r="AE342" s="27"/>
      <c r="AF342" s="27"/>
      <c r="AG342" s="27"/>
      <c r="AH342" s="27"/>
      <c r="AI342" s="28"/>
      <c r="AJ342" s="29"/>
      <c r="AK342" s="29"/>
      <c r="AL342" s="27"/>
      <c r="AM342" s="27"/>
      <c r="AN342" s="27"/>
      <c r="AO342" s="27"/>
      <c r="AP342" s="27"/>
      <c r="AY342" s="27"/>
      <c r="AZ342" s="27"/>
      <c r="BA342" s="27"/>
      <c r="BB342" s="27"/>
      <c r="BC342" s="28"/>
      <c r="BD342" s="29"/>
      <c r="BE342" s="29"/>
      <c r="BF342" s="27"/>
      <c r="BG342" s="27"/>
      <c r="BH342" s="27"/>
      <c r="BI342" s="27"/>
      <c r="BJ342" s="27"/>
      <c r="BK342" s="27"/>
      <c r="BL342" s="27"/>
      <c r="BM342" s="27"/>
    </row>
    <row r="343">
      <c r="I343" s="27"/>
      <c r="J343" s="27"/>
      <c r="K343" s="27"/>
      <c r="L343" s="27"/>
      <c r="M343" s="28"/>
      <c r="N343" s="29"/>
      <c r="O343" s="29"/>
      <c r="P343" s="29"/>
      <c r="Q343" s="27"/>
      <c r="R343" s="27"/>
      <c r="S343" s="27"/>
      <c r="T343" s="27"/>
      <c r="U343" s="27"/>
      <c r="V343" s="27"/>
      <c r="AE343" s="27"/>
      <c r="AF343" s="27"/>
      <c r="AG343" s="27"/>
      <c r="AH343" s="27"/>
      <c r="AI343" s="28"/>
      <c r="AJ343" s="29"/>
      <c r="AK343" s="29"/>
      <c r="AL343" s="27"/>
      <c r="AM343" s="27"/>
      <c r="AN343" s="27"/>
      <c r="AO343" s="27"/>
      <c r="AP343" s="27"/>
      <c r="AY343" s="27"/>
      <c r="AZ343" s="27"/>
      <c r="BA343" s="27"/>
      <c r="BB343" s="27"/>
      <c r="BC343" s="28"/>
      <c r="BD343" s="29"/>
      <c r="BE343" s="29"/>
      <c r="BF343" s="27"/>
      <c r="BG343" s="27"/>
      <c r="BH343" s="27"/>
      <c r="BI343" s="27"/>
      <c r="BJ343" s="27"/>
      <c r="BK343" s="27"/>
      <c r="BL343" s="27"/>
      <c r="BM343" s="27"/>
    </row>
    <row r="344">
      <c r="I344" s="27"/>
      <c r="J344" s="27"/>
      <c r="K344" s="27"/>
      <c r="L344" s="27"/>
      <c r="M344" s="28"/>
      <c r="N344" s="29"/>
      <c r="O344" s="29"/>
      <c r="P344" s="29"/>
      <c r="Q344" s="27"/>
      <c r="R344" s="27"/>
      <c r="S344" s="27"/>
      <c r="T344" s="27"/>
      <c r="U344" s="27"/>
      <c r="V344" s="27"/>
      <c r="AE344" s="27"/>
      <c r="AF344" s="27"/>
      <c r="AG344" s="27"/>
      <c r="AH344" s="27"/>
      <c r="AI344" s="28"/>
      <c r="AJ344" s="29"/>
      <c r="AK344" s="29"/>
      <c r="AL344" s="27"/>
      <c r="AM344" s="27"/>
      <c r="AN344" s="27"/>
      <c r="AO344" s="27"/>
      <c r="AP344" s="27"/>
      <c r="AY344" s="27"/>
      <c r="AZ344" s="27"/>
      <c r="BA344" s="27"/>
      <c r="BB344" s="27"/>
      <c r="BC344" s="28"/>
      <c r="BD344" s="29"/>
      <c r="BE344" s="29"/>
      <c r="BF344" s="27"/>
      <c r="BG344" s="27"/>
      <c r="BH344" s="27"/>
      <c r="BI344" s="27"/>
      <c r="BJ344" s="27"/>
      <c r="BK344" s="27"/>
      <c r="BL344" s="27"/>
      <c r="BM344" s="27"/>
    </row>
    <row r="345">
      <c r="I345" s="27"/>
      <c r="J345" s="27"/>
      <c r="K345" s="27"/>
      <c r="L345" s="27"/>
      <c r="M345" s="28"/>
      <c r="N345" s="29"/>
      <c r="O345" s="29"/>
      <c r="P345" s="29"/>
      <c r="Q345" s="27"/>
      <c r="R345" s="27"/>
      <c r="S345" s="27"/>
      <c r="T345" s="27"/>
      <c r="U345" s="27"/>
      <c r="V345" s="27"/>
      <c r="AE345" s="27"/>
      <c r="AF345" s="27"/>
      <c r="AG345" s="27"/>
      <c r="AH345" s="27"/>
      <c r="AI345" s="28"/>
      <c r="AJ345" s="29"/>
      <c r="AK345" s="29"/>
      <c r="AL345" s="27"/>
      <c r="AM345" s="27"/>
      <c r="AN345" s="27"/>
      <c r="AO345" s="27"/>
      <c r="AP345" s="27"/>
      <c r="AY345" s="27"/>
      <c r="AZ345" s="27"/>
      <c r="BA345" s="27"/>
      <c r="BB345" s="27"/>
      <c r="BC345" s="28"/>
      <c r="BD345" s="29"/>
      <c r="BE345" s="29"/>
      <c r="BF345" s="27"/>
      <c r="BG345" s="27"/>
      <c r="BH345" s="27"/>
      <c r="BI345" s="27"/>
      <c r="BJ345" s="27"/>
      <c r="BK345" s="27"/>
      <c r="BL345" s="27"/>
      <c r="BM345" s="27"/>
    </row>
    <row r="346">
      <c r="I346" s="27"/>
      <c r="J346" s="27"/>
      <c r="K346" s="27"/>
      <c r="L346" s="27"/>
      <c r="M346" s="28"/>
      <c r="N346" s="29"/>
      <c r="O346" s="29"/>
      <c r="P346" s="29"/>
      <c r="Q346" s="27"/>
      <c r="R346" s="27"/>
      <c r="S346" s="27"/>
      <c r="T346" s="27"/>
      <c r="U346" s="27"/>
      <c r="V346" s="27"/>
      <c r="AE346" s="27"/>
      <c r="AF346" s="27"/>
      <c r="AG346" s="27"/>
      <c r="AH346" s="27"/>
      <c r="AI346" s="28"/>
      <c r="AJ346" s="29"/>
      <c r="AK346" s="29"/>
      <c r="AL346" s="27"/>
      <c r="AM346" s="27"/>
      <c r="AN346" s="27"/>
      <c r="AO346" s="27"/>
      <c r="AP346" s="27"/>
      <c r="AY346" s="27"/>
      <c r="AZ346" s="27"/>
      <c r="BA346" s="27"/>
      <c r="BB346" s="27"/>
      <c r="BC346" s="28"/>
      <c r="BD346" s="29"/>
      <c r="BE346" s="29"/>
      <c r="BF346" s="27"/>
      <c r="BG346" s="27"/>
      <c r="BH346" s="27"/>
      <c r="BI346" s="27"/>
      <c r="BJ346" s="27"/>
      <c r="BK346" s="27"/>
      <c r="BL346" s="27"/>
      <c r="BM346" s="27"/>
    </row>
    <row r="347">
      <c r="I347" s="27"/>
      <c r="J347" s="27"/>
      <c r="K347" s="27"/>
      <c r="L347" s="27"/>
      <c r="M347" s="28"/>
      <c r="N347" s="29"/>
      <c r="O347" s="29"/>
      <c r="P347" s="29"/>
      <c r="Q347" s="27"/>
      <c r="R347" s="27"/>
      <c r="S347" s="27"/>
      <c r="T347" s="27"/>
      <c r="U347" s="27"/>
      <c r="V347" s="27"/>
      <c r="AE347" s="27"/>
      <c r="AF347" s="27"/>
      <c r="AG347" s="27"/>
      <c r="AH347" s="27"/>
      <c r="AI347" s="28"/>
      <c r="AJ347" s="29"/>
      <c r="AK347" s="29"/>
      <c r="AL347" s="27"/>
      <c r="AM347" s="27"/>
      <c r="AN347" s="27"/>
      <c r="AO347" s="27"/>
      <c r="AP347" s="27"/>
      <c r="AY347" s="27"/>
      <c r="AZ347" s="27"/>
      <c r="BA347" s="27"/>
      <c r="BB347" s="27"/>
      <c r="BC347" s="28"/>
      <c r="BD347" s="29"/>
      <c r="BE347" s="29"/>
      <c r="BF347" s="27"/>
      <c r="BG347" s="27"/>
      <c r="BH347" s="27"/>
      <c r="BI347" s="27"/>
      <c r="BJ347" s="27"/>
      <c r="BK347" s="27"/>
      <c r="BL347" s="27"/>
      <c r="BM347" s="27"/>
    </row>
    <row r="348">
      <c r="I348" s="27"/>
      <c r="J348" s="27"/>
      <c r="K348" s="27"/>
      <c r="L348" s="27"/>
      <c r="M348" s="28"/>
      <c r="N348" s="29"/>
      <c r="O348" s="29"/>
      <c r="P348" s="29"/>
      <c r="Q348" s="27"/>
      <c r="R348" s="27"/>
      <c r="S348" s="27"/>
      <c r="T348" s="27"/>
      <c r="U348" s="27"/>
      <c r="V348" s="27"/>
      <c r="AE348" s="27"/>
      <c r="AF348" s="27"/>
      <c r="AG348" s="27"/>
      <c r="AH348" s="27"/>
      <c r="AI348" s="28"/>
      <c r="AJ348" s="29"/>
      <c r="AK348" s="29"/>
      <c r="AL348" s="27"/>
      <c r="AM348" s="27"/>
      <c r="AN348" s="27"/>
      <c r="AO348" s="27"/>
      <c r="AP348" s="27"/>
      <c r="AY348" s="27"/>
      <c r="AZ348" s="27"/>
      <c r="BA348" s="27"/>
      <c r="BB348" s="27"/>
      <c r="BC348" s="28"/>
      <c r="BD348" s="29"/>
      <c r="BE348" s="29"/>
      <c r="BF348" s="27"/>
      <c r="BG348" s="27"/>
      <c r="BH348" s="27"/>
      <c r="BI348" s="27"/>
      <c r="BJ348" s="27"/>
      <c r="BK348" s="27"/>
      <c r="BL348" s="27"/>
      <c r="BM348" s="27"/>
    </row>
    <row r="349">
      <c r="I349" s="27"/>
      <c r="J349" s="27"/>
      <c r="K349" s="27"/>
      <c r="L349" s="27"/>
      <c r="M349" s="28"/>
      <c r="N349" s="29"/>
      <c r="O349" s="29"/>
      <c r="P349" s="29"/>
      <c r="Q349" s="27"/>
      <c r="R349" s="27"/>
      <c r="S349" s="27"/>
      <c r="T349" s="27"/>
      <c r="U349" s="27"/>
      <c r="V349" s="27"/>
      <c r="AE349" s="27"/>
      <c r="AF349" s="27"/>
      <c r="AG349" s="27"/>
      <c r="AH349" s="27"/>
      <c r="AI349" s="28"/>
      <c r="AJ349" s="29"/>
      <c r="AK349" s="29"/>
      <c r="AL349" s="27"/>
      <c r="AM349" s="27"/>
      <c r="AN349" s="27"/>
      <c r="AO349" s="27"/>
      <c r="AP349" s="27"/>
      <c r="AY349" s="27"/>
      <c r="AZ349" s="27"/>
      <c r="BA349" s="27"/>
      <c r="BB349" s="27"/>
      <c r="BC349" s="28"/>
      <c r="BD349" s="29"/>
      <c r="BE349" s="29"/>
      <c r="BF349" s="27"/>
      <c r="BG349" s="27"/>
      <c r="BH349" s="27"/>
      <c r="BI349" s="27"/>
      <c r="BJ349" s="27"/>
      <c r="BK349" s="27"/>
      <c r="BL349" s="27"/>
      <c r="BM349" s="27"/>
    </row>
    <row r="350">
      <c r="I350" s="27"/>
      <c r="J350" s="27"/>
      <c r="K350" s="27"/>
      <c r="L350" s="27"/>
      <c r="M350" s="28"/>
      <c r="N350" s="29"/>
      <c r="O350" s="29"/>
      <c r="P350" s="29"/>
      <c r="Q350" s="27"/>
      <c r="R350" s="27"/>
      <c r="S350" s="27"/>
      <c r="T350" s="27"/>
      <c r="U350" s="27"/>
      <c r="V350" s="27"/>
      <c r="AE350" s="27"/>
      <c r="AF350" s="27"/>
      <c r="AG350" s="27"/>
      <c r="AH350" s="27"/>
      <c r="AI350" s="28"/>
      <c r="AJ350" s="29"/>
      <c r="AK350" s="29"/>
      <c r="AL350" s="27"/>
      <c r="AM350" s="27"/>
      <c r="AN350" s="27"/>
      <c r="AO350" s="27"/>
      <c r="AP350" s="27"/>
      <c r="AY350" s="27"/>
      <c r="AZ350" s="27"/>
      <c r="BA350" s="27"/>
      <c r="BB350" s="27"/>
      <c r="BC350" s="28"/>
      <c r="BD350" s="29"/>
      <c r="BE350" s="29"/>
      <c r="BF350" s="27"/>
      <c r="BG350" s="27"/>
      <c r="BH350" s="27"/>
      <c r="BI350" s="27"/>
      <c r="BJ350" s="27"/>
      <c r="BK350" s="27"/>
      <c r="BL350" s="27"/>
      <c r="BM350" s="27"/>
    </row>
    <row r="351">
      <c r="I351" s="27"/>
      <c r="J351" s="27"/>
      <c r="K351" s="27"/>
      <c r="L351" s="27"/>
      <c r="M351" s="28"/>
      <c r="N351" s="29"/>
      <c r="O351" s="29"/>
      <c r="P351" s="29"/>
      <c r="Q351" s="27"/>
      <c r="R351" s="27"/>
      <c r="S351" s="27"/>
      <c r="T351" s="27"/>
      <c r="U351" s="27"/>
      <c r="V351" s="27"/>
      <c r="AE351" s="27"/>
      <c r="AF351" s="27"/>
      <c r="AG351" s="27"/>
      <c r="AH351" s="27"/>
      <c r="AI351" s="28"/>
      <c r="AJ351" s="29"/>
      <c r="AK351" s="29"/>
      <c r="AL351" s="27"/>
      <c r="AM351" s="27"/>
      <c r="AN351" s="27"/>
      <c r="AO351" s="27"/>
      <c r="AP351" s="27"/>
      <c r="AY351" s="27"/>
      <c r="AZ351" s="27"/>
      <c r="BA351" s="27"/>
      <c r="BB351" s="27"/>
      <c r="BC351" s="28"/>
      <c r="BD351" s="29"/>
      <c r="BE351" s="29"/>
      <c r="BF351" s="27"/>
      <c r="BG351" s="27"/>
      <c r="BH351" s="27"/>
      <c r="BI351" s="27"/>
      <c r="BJ351" s="27"/>
      <c r="BK351" s="27"/>
      <c r="BL351" s="27"/>
      <c r="BM351" s="27"/>
    </row>
    <row r="352">
      <c r="I352" s="27"/>
      <c r="J352" s="27"/>
      <c r="K352" s="27"/>
      <c r="L352" s="27"/>
      <c r="M352" s="28"/>
      <c r="N352" s="29"/>
      <c r="O352" s="29"/>
      <c r="P352" s="29"/>
      <c r="Q352" s="27"/>
      <c r="R352" s="27"/>
      <c r="S352" s="27"/>
      <c r="T352" s="27"/>
      <c r="U352" s="27"/>
      <c r="V352" s="27"/>
      <c r="AE352" s="27"/>
      <c r="AF352" s="27"/>
      <c r="AG352" s="27"/>
      <c r="AH352" s="27"/>
      <c r="AI352" s="28"/>
      <c r="AJ352" s="29"/>
      <c r="AK352" s="29"/>
      <c r="AL352" s="27"/>
      <c r="AM352" s="27"/>
      <c r="AN352" s="27"/>
      <c r="AO352" s="27"/>
      <c r="AP352" s="27"/>
      <c r="AY352" s="27"/>
      <c r="AZ352" s="27"/>
      <c r="BA352" s="27"/>
      <c r="BB352" s="27"/>
      <c r="BC352" s="28"/>
      <c r="BD352" s="29"/>
      <c r="BE352" s="29"/>
      <c r="BF352" s="27"/>
      <c r="BG352" s="27"/>
      <c r="BH352" s="27"/>
      <c r="BI352" s="27"/>
      <c r="BJ352" s="27"/>
      <c r="BK352" s="27"/>
      <c r="BL352" s="27"/>
      <c r="BM352" s="27"/>
    </row>
    <row r="353">
      <c r="I353" s="27"/>
      <c r="J353" s="27"/>
      <c r="K353" s="27"/>
      <c r="L353" s="27"/>
      <c r="M353" s="28"/>
      <c r="N353" s="29"/>
      <c r="O353" s="29"/>
      <c r="P353" s="29"/>
      <c r="Q353" s="27"/>
      <c r="R353" s="27"/>
      <c r="S353" s="27"/>
      <c r="T353" s="27"/>
      <c r="U353" s="27"/>
      <c r="V353" s="27"/>
      <c r="AE353" s="27"/>
      <c r="AF353" s="27"/>
      <c r="AG353" s="27"/>
      <c r="AH353" s="27"/>
      <c r="AI353" s="28"/>
      <c r="AJ353" s="29"/>
      <c r="AK353" s="29"/>
      <c r="AL353" s="27"/>
      <c r="AM353" s="27"/>
      <c r="AN353" s="27"/>
      <c r="AO353" s="27"/>
      <c r="AP353" s="27"/>
      <c r="AY353" s="27"/>
      <c r="AZ353" s="27"/>
      <c r="BA353" s="27"/>
      <c r="BB353" s="27"/>
      <c r="BC353" s="28"/>
      <c r="BD353" s="29"/>
      <c r="BE353" s="29"/>
      <c r="BF353" s="27"/>
      <c r="BG353" s="27"/>
      <c r="BH353" s="27"/>
      <c r="BI353" s="27"/>
      <c r="BJ353" s="27"/>
      <c r="BK353" s="27"/>
      <c r="BL353" s="27"/>
      <c r="BM353" s="27"/>
    </row>
    <row r="354">
      <c r="I354" s="27"/>
      <c r="J354" s="27"/>
      <c r="K354" s="27"/>
      <c r="L354" s="27"/>
      <c r="M354" s="28"/>
      <c r="N354" s="29"/>
      <c r="O354" s="29"/>
      <c r="P354" s="29"/>
      <c r="Q354" s="27"/>
      <c r="R354" s="27"/>
      <c r="S354" s="27"/>
      <c r="T354" s="27"/>
      <c r="U354" s="27"/>
      <c r="V354" s="27"/>
      <c r="AE354" s="27"/>
      <c r="AF354" s="27"/>
      <c r="AG354" s="27"/>
      <c r="AH354" s="27"/>
      <c r="AI354" s="28"/>
      <c r="AJ354" s="29"/>
      <c r="AK354" s="29"/>
      <c r="AL354" s="27"/>
      <c r="AM354" s="27"/>
      <c r="AN354" s="27"/>
      <c r="AO354" s="27"/>
      <c r="AP354" s="27"/>
      <c r="AY354" s="27"/>
      <c r="AZ354" s="27"/>
      <c r="BA354" s="27"/>
      <c r="BB354" s="27"/>
      <c r="BC354" s="28"/>
      <c r="BD354" s="29"/>
      <c r="BE354" s="29"/>
      <c r="BF354" s="27"/>
      <c r="BG354" s="27"/>
      <c r="BH354" s="27"/>
      <c r="BI354" s="27"/>
      <c r="BJ354" s="27"/>
      <c r="BK354" s="27"/>
      <c r="BL354" s="27"/>
      <c r="BM354" s="27"/>
    </row>
    <row r="355">
      <c r="I355" s="27"/>
      <c r="J355" s="27"/>
      <c r="K355" s="27"/>
      <c r="L355" s="27"/>
      <c r="M355" s="28"/>
      <c r="N355" s="29"/>
      <c r="O355" s="29"/>
      <c r="P355" s="29"/>
      <c r="Q355" s="27"/>
      <c r="R355" s="27"/>
      <c r="S355" s="27"/>
      <c r="T355" s="27"/>
      <c r="U355" s="27"/>
      <c r="V355" s="27"/>
      <c r="AE355" s="27"/>
      <c r="AF355" s="27"/>
      <c r="AG355" s="27"/>
      <c r="AH355" s="27"/>
      <c r="AI355" s="28"/>
      <c r="AJ355" s="29"/>
      <c r="AK355" s="29"/>
      <c r="AL355" s="27"/>
      <c r="AM355" s="27"/>
      <c r="AN355" s="27"/>
      <c r="AO355" s="27"/>
      <c r="AP355" s="27"/>
      <c r="AY355" s="27"/>
      <c r="AZ355" s="27"/>
      <c r="BA355" s="27"/>
      <c r="BB355" s="27"/>
      <c r="BC355" s="28"/>
      <c r="BD355" s="29"/>
      <c r="BE355" s="29"/>
      <c r="BF355" s="27"/>
      <c r="BG355" s="27"/>
      <c r="BH355" s="27"/>
      <c r="BI355" s="27"/>
      <c r="BJ355" s="27"/>
      <c r="BK355" s="27"/>
      <c r="BL355" s="27"/>
      <c r="BM355" s="27"/>
    </row>
    <row r="356">
      <c r="I356" s="27"/>
      <c r="J356" s="27"/>
      <c r="K356" s="27"/>
      <c r="L356" s="27"/>
      <c r="M356" s="28"/>
      <c r="N356" s="29"/>
      <c r="O356" s="29"/>
      <c r="P356" s="29"/>
      <c r="Q356" s="27"/>
      <c r="R356" s="27"/>
      <c r="S356" s="27"/>
      <c r="T356" s="27"/>
      <c r="U356" s="27"/>
      <c r="V356" s="27"/>
      <c r="AE356" s="27"/>
      <c r="AF356" s="27"/>
      <c r="AG356" s="27"/>
      <c r="AH356" s="27"/>
      <c r="AI356" s="28"/>
      <c r="AJ356" s="29"/>
      <c r="AK356" s="29"/>
      <c r="AL356" s="27"/>
      <c r="AM356" s="27"/>
      <c r="AN356" s="27"/>
      <c r="AO356" s="27"/>
      <c r="AP356" s="27"/>
      <c r="AY356" s="27"/>
      <c r="AZ356" s="27"/>
      <c r="BA356" s="27"/>
      <c r="BB356" s="27"/>
      <c r="BC356" s="28"/>
      <c r="BD356" s="29"/>
      <c r="BE356" s="29"/>
      <c r="BF356" s="27"/>
      <c r="BG356" s="27"/>
      <c r="BH356" s="27"/>
      <c r="BI356" s="27"/>
      <c r="BJ356" s="27"/>
      <c r="BK356" s="27"/>
      <c r="BL356" s="27"/>
      <c r="BM356" s="27"/>
    </row>
    <row r="357">
      <c r="I357" s="27"/>
      <c r="J357" s="27"/>
      <c r="K357" s="27"/>
      <c r="L357" s="27"/>
      <c r="M357" s="28"/>
      <c r="N357" s="29"/>
      <c r="O357" s="29"/>
      <c r="P357" s="29"/>
      <c r="Q357" s="27"/>
      <c r="R357" s="27"/>
      <c r="S357" s="27"/>
      <c r="T357" s="27"/>
      <c r="U357" s="27"/>
      <c r="V357" s="27"/>
      <c r="AE357" s="27"/>
      <c r="AF357" s="27"/>
      <c r="AG357" s="27"/>
      <c r="AH357" s="27"/>
      <c r="AI357" s="28"/>
      <c r="AJ357" s="29"/>
      <c r="AK357" s="29"/>
      <c r="AL357" s="27"/>
      <c r="AM357" s="27"/>
      <c r="AN357" s="27"/>
      <c r="AO357" s="27"/>
      <c r="AP357" s="27"/>
      <c r="AY357" s="27"/>
      <c r="AZ357" s="27"/>
      <c r="BA357" s="27"/>
      <c r="BB357" s="27"/>
      <c r="BC357" s="28"/>
      <c r="BD357" s="29"/>
      <c r="BE357" s="29"/>
      <c r="BF357" s="27"/>
      <c r="BG357" s="27"/>
      <c r="BH357" s="27"/>
      <c r="BI357" s="27"/>
      <c r="BJ357" s="27"/>
      <c r="BK357" s="27"/>
      <c r="BL357" s="27"/>
      <c r="BM357" s="27"/>
    </row>
    <row r="358">
      <c r="I358" s="27"/>
      <c r="J358" s="27"/>
      <c r="K358" s="27"/>
      <c r="L358" s="27"/>
      <c r="M358" s="28"/>
      <c r="N358" s="29"/>
      <c r="O358" s="29"/>
      <c r="P358" s="29"/>
      <c r="Q358" s="27"/>
      <c r="R358" s="27"/>
      <c r="S358" s="27"/>
      <c r="T358" s="27"/>
      <c r="U358" s="27"/>
      <c r="V358" s="27"/>
      <c r="AE358" s="27"/>
      <c r="AF358" s="27"/>
      <c r="AG358" s="27"/>
      <c r="AH358" s="27"/>
      <c r="AI358" s="28"/>
      <c r="AJ358" s="29"/>
      <c r="AK358" s="29"/>
      <c r="AL358" s="27"/>
      <c r="AM358" s="27"/>
      <c r="AN358" s="27"/>
      <c r="AO358" s="27"/>
      <c r="AP358" s="27"/>
      <c r="AY358" s="27"/>
      <c r="AZ358" s="27"/>
      <c r="BA358" s="27"/>
      <c r="BB358" s="27"/>
      <c r="BC358" s="28"/>
      <c r="BD358" s="29"/>
      <c r="BE358" s="29"/>
      <c r="BF358" s="27"/>
      <c r="BG358" s="27"/>
      <c r="BH358" s="27"/>
      <c r="BI358" s="27"/>
      <c r="BJ358" s="27"/>
      <c r="BK358" s="27"/>
      <c r="BL358" s="27"/>
      <c r="BM358" s="27"/>
    </row>
    <row r="359">
      <c r="I359" s="27"/>
      <c r="J359" s="27"/>
      <c r="K359" s="27"/>
      <c r="L359" s="27"/>
      <c r="M359" s="28"/>
      <c r="N359" s="29"/>
      <c r="O359" s="29"/>
      <c r="P359" s="29"/>
      <c r="Q359" s="27"/>
      <c r="R359" s="27"/>
      <c r="S359" s="27"/>
      <c r="T359" s="27"/>
      <c r="U359" s="27"/>
      <c r="V359" s="27"/>
      <c r="AE359" s="27"/>
      <c r="AF359" s="27"/>
      <c r="AG359" s="27"/>
      <c r="AH359" s="27"/>
      <c r="AI359" s="28"/>
      <c r="AJ359" s="29"/>
      <c r="AK359" s="29"/>
      <c r="AL359" s="27"/>
      <c r="AM359" s="27"/>
      <c r="AN359" s="27"/>
      <c r="AO359" s="27"/>
      <c r="AP359" s="27"/>
      <c r="AY359" s="27"/>
      <c r="AZ359" s="27"/>
      <c r="BA359" s="27"/>
      <c r="BB359" s="27"/>
      <c r="BC359" s="28"/>
      <c r="BD359" s="29"/>
      <c r="BE359" s="29"/>
      <c r="BF359" s="27"/>
      <c r="BG359" s="27"/>
      <c r="BH359" s="27"/>
      <c r="BI359" s="27"/>
      <c r="BJ359" s="27"/>
      <c r="BK359" s="27"/>
      <c r="BL359" s="27"/>
      <c r="BM359" s="27"/>
    </row>
    <row r="360">
      <c r="I360" s="27"/>
      <c r="J360" s="27"/>
      <c r="K360" s="27"/>
      <c r="L360" s="27"/>
      <c r="M360" s="28"/>
      <c r="N360" s="29"/>
      <c r="O360" s="29"/>
      <c r="P360" s="29"/>
      <c r="Q360" s="27"/>
      <c r="R360" s="27"/>
      <c r="S360" s="27"/>
      <c r="T360" s="27"/>
      <c r="U360" s="27"/>
      <c r="V360" s="27"/>
      <c r="AE360" s="27"/>
      <c r="AF360" s="27"/>
      <c r="AG360" s="27"/>
      <c r="AH360" s="27"/>
      <c r="AI360" s="28"/>
      <c r="AJ360" s="29"/>
      <c r="AK360" s="29"/>
      <c r="AL360" s="27"/>
      <c r="AM360" s="27"/>
      <c r="AN360" s="27"/>
      <c r="AO360" s="27"/>
      <c r="AP360" s="27"/>
      <c r="AY360" s="27"/>
      <c r="AZ360" s="27"/>
      <c r="BA360" s="27"/>
      <c r="BB360" s="27"/>
      <c r="BC360" s="28"/>
      <c r="BD360" s="29"/>
      <c r="BE360" s="29"/>
      <c r="BF360" s="27"/>
      <c r="BG360" s="27"/>
      <c r="BH360" s="27"/>
      <c r="BI360" s="27"/>
      <c r="BJ360" s="27"/>
      <c r="BK360" s="27"/>
      <c r="BL360" s="27"/>
      <c r="BM360" s="27"/>
    </row>
    <row r="361">
      <c r="I361" s="27"/>
      <c r="J361" s="27"/>
      <c r="K361" s="27"/>
      <c r="L361" s="27"/>
      <c r="M361" s="28"/>
      <c r="N361" s="29"/>
      <c r="O361" s="29"/>
      <c r="P361" s="29"/>
      <c r="Q361" s="27"/>
      <c r="R361" s="27"/>
      <c r="S361" s="27"/>
      <c r="T361" s="27"/>
      <c r="U361" s="27"/>
      <c r="V361" s="27"/>
      <c r="AE361" s="27"/>
      <c r="AF361" s="27"/>
      <c r="AG361" s="27"/>
      <c r="AH361" s="27"/>
      <c r="AI361" s="28"/>
      <c r="AJ361" s="29"/>
      <c r="AK361" s="29"/>
      <c r="AL361" s="27"/>
      <c r="AM361" s="27"/>
      <c r="AN361" s="27"/>
      <c r="AO361" s="27"/>
      <c r="AP361" s="27"/>
      <c r="AY361" s="27"/>
      <c r="AZ361" s="27"/>
      <c r="BA361" s="27"/>
      <c r="BB361" s="27"/>
      <c r="BC361" s="28"/>
      <c r="BD361" s="29"/>
      <c r="BE361" s="29"/>
      <c r="BF361" s="27"/>
      <c r="BG361" s="27"/>
      <c r="BH361" s="27"/>
      <c r="BI361" s="27"/>
      <c r="BJ361" s="27"/>
      <c r="BK361" s="27"/>
      <c r="BL361" s="27"/>
      <c r="BM361" s="27"/>
    </row>
    <row r="362">
      <c r="I362" s="27"/>
      <c r="J362" s="27"/>
      <c r="K362" s="27"/>
      <c r="L362" s="27"/>
      <c r="M362" s="28"/>
      <c r="N362" s="29"/>
      <c r="O362" s="29"/>
      <c r="P362" s="29"/>
      <c r="Q362" s="27"/>
      <c r="R362" s="27"/>
      <c r="S362" s="27"/>
      <c r="T362" s="27"/>
      <c r="U362" s="27"/>
      <c r="V362" s="27"/>
      <c r="AE362" s="27"/>
      <c r="AF362" s="27"/>
      <c r="AG362" s="27"/>
      <c r="AH362" s="27"/>
      <c r="AI362" s="28"/>
      <c r="AJ362" s="29"/>
      <c r="AK362" s="29"/>
      <c r="AL362" s="27"/>
      <c r="AM362" s="27"/>
      <c r="AN362" s="27"/>
      <c r="AO362" s="27"/>
      <c r="AP362" s="27"/>
      <c r="AY362" s="27"/>
      <c r="AZ362" s="27"/>
      <c r="BA362" s="27"/>
      <c r="BB362" s="27"/>
      <c r="BC362" s="28"/>
      <c r="BD362" s="29"/>
      <c r="BE362" s="29"/>
      <c r="BF362" s="27"/>
      <c r="BG362" s="27"/>
      <c r="BH362" s="27"/>
      <c r="BI362" s="27"/>
      <c r="BJ362" s="27"/>
      <c r="BK362" s="27"/>
      <c r="BL362" s="27"/>
      <c r="BM362" s="27"/>
    </row>
    <row r="363">
      <c r="I363" s="27"/>
      <c r="J363" s="27"/>
      <c r="K363" s="27"/>
      <c r="L363" s="27"/>
      <c r="M363" s="28"/>
      <c r="N363" s="29"/>
      <c r="O363" s="29"/>
      <c r="P363" s="29"/>
      <c r="Q363" s="27"/>
      <c r="R363" s="27"/>
      <c r="S363" s="27"/>
      <c r="T363" s="27"/>
      <c r="U363" s="27"/>
      <c r="V363" s="27"/>
      <c r="AE363" s="27"/>
      <c r="AF363" s="27"/>
      <c r="AG363" s="27"/>
      <c r="AH363" s="27"/>
      <c r="AI363" s="28"/>
      <c r="AJ363" s="29"/>
      <c r="AK363" s="29"/>
      <c r="AL363" s="27"/>
      <c r="AM363" s="27"/>
      <c r="AN363" s="27"/>
      <c r="AO363" s="27"/>
      <c r="AP363" s="27"/>
      <c r="AY363" s="27"/>
      <c r="AZ363" s="27"/>
      <c r="BA363" s="27"/>
      <c r="BB363" s="27"/>
      <c r="BC363" s="28"/>
      <c r="BD363" s="29"/>
      <c r="BE363" s="29"/>
      <c r="BF363" s="27"/>
      <c r="BG363" s="27"/>
      <c r="BH363" s="27"/>
      <c r="BI363" s="27"/>
      <c r="BJ363" s="27"/>
      <c r="BK363" s="27"/>
      <c r="BL363" s="27"/>
      <c r="BM363" s="27"/>
    </row>
    <row r="364">
      <c r="I364" s="27"/>
      <c r="J364" s="27"/>
      <c r="K364" s="27"/>
      <c r="L364" s="27"/>
      <c r="M364" s="28"/>
      <c r="N364" s="29"/>
      <c r="O364" s="29"/>
      <c r="P364" s="29"/>
      <c r="Q364" s="27"/>
      <c r="R364" s="27"/>
      <c r="S364" s="27"/>
      <c r="T364" s="27"/>
      <c r="U364" s="27"/>
      <c r="V364" s="27"/>
      <c r="AE364" s="27"/>
      <c r="AF364" s="27"/>
      <c r="AG364" s="27"/>
      <c r="AH364" s="27"/>
      <c r="AI364" s="28"/>
      <c r="AJ364" s="29"/>
      <c r="AK364" s="29"/>
      <c r="AL364" s="27"/>
      <c r="AM364" s="27"/>
      <c r="AN364" s="27"/>
      <c r="AO364" s="27"/>
      <c r="AP364" s="27"/>
      <c r="AY364" s="27"/>
      <c r="AZ364" s="27"/>
      <c r="BA364" s="27"/>
      <c r="BB364" s="27"/>
      <c r="BC364" s="28"/>
      <c r="BD364" s="29"/>
      <c r="BE364" s="29"/>
      <c r="BF364" s="27"/>
      <c r="BG364" s="27"/>
      <c r="BH364" s="27"/>
      <c r="BI364" s="27"/>
      <c r="BJ364" s="27"/>
      <c r="BK364" s="27"/>
      <c r="BL364" s="27"/>
      <c r="BM364" s="27"/>
    </row>
    <row r="365">
      <c r="I365" s="27"/>
      <c r="J365" s="27"/>
      <c r="K365" s="27"/>
      <c r="L365" s="27"/>
      <c r="M365" s="28"/>
      <c r="N365" s="29"/>
      <c r="O365" s="29"/>
      <c r="P365" s="29"/>
      <c r="Q365" s="27"/>
      <c r="R365" s="27"/>
      <c r="S365" s="27"/>
      <c r="T365" s="27"/>
      <c r="U365" s="27"/>
      <c r="V365" s="27"/>
      <c r="AE365" s="27"/>
      <c r="AF365" s="27"/>
      <c r="AG365" s="27"/>
      <c r="AH365" s="27"/>
      <c r="AI365" s="28"/>
      <c r="AJ365" s="29"/>
      <c r="AK365" s="29"/>
      <c r="AL365" s="27"/>
      <c r="AM365" s="27"/>
      <c r="AN365" s="27"/>
      <c r="AO365" s="27"/>
      <c r="AP365" s="27"/>
      <c r="AY365" s="27"/>
      <c r="AZ365" s="27"/>
      <c r="BA365" s="27"/>
      <c r="BB365" s="27"/>
      <c r="BC365" s="28"/>
      <c r="BD365" s="29"/>
      <c r="BE365" s="29"/>
      <c r="BF365" s="27"/>
      <c r="BG365" s="27"/>
      <c r="BH365" s="27"/>
      <c r="BI365" s="27"/>
      <c r="BJ365" s="27"/>
      <c r="BK365" s="27"/>
      <c r="BL365" s="27"/>
      <c r="BM365" s="27"/>
    </row>
    <row r="366">
      <c r="I366" s="27"/>
      <c r="J366" s="27"/>
      <c r="K366" s="27"/>
      <c r="L366" s="27"/>
      <c r="M366" s="28"/>
      <c r="N366" s="29"/>
      <c r="O366" s="29"/>
      <c r="P366" s="29"/>
      <c r="Q366" s="27"/>
      <c r="R366" s="27"/>
      <c r="S366" s="27"/>
      <c r="T366" s="27"/>
      <c r="U366" s="27"/>
      <c r="V366" s="27"/>
      <c r="AE366" s="27"/>
      <c r="AF366" s="27"/>
      <c r="AG366" s="27"/>
      <c r="AH366" s="27"/>
      <c r="AI366" s="28"/>
      <c r="AJ366" s="29"/>
      <c r="AK366" s="29"/>
      <c r="AL366" s="27"/>
      <c r="AM366" s="27"/>
      <c r="AN366" s="27"/>
      <c r="AO366" s="27"/>
      <c r="AP366" s="27"/>
      <c r="AY366" s="27"/>
      <c r="AZ366" s="27"/>
      <c r="BA366" s="27"/>
      <c r="BB366" s="27"/>
      <c r="BC366" s="28"/>
      <c r="BD366" s="29"/>
      <c r="BE366" s="29"/>
      <c r="BF366" s="27"/>
      <c r="BG366" s="27"/>
      <c r="BH366" s="27"/>
      <c r="BI366" s="27"/>
      <c r="BJ366" s="27"/>
      <c r="BK366" s="27"/>
      <c r="BL366" s="27"/>
      <c r="BM366" s="27"/>
    </row>
    <row r="367">
      <c r="I367" s="27"/>
      <c r="J367" s="27"/>
      <c r="K367" s="27"/>
      <c r="L367" s="27"/>
      <c r="M367" s="28"/>
      <c r="N367" s="29"/>
      <c r="O367" s="29"/>
      <c r="P367" s="29"/>
      <c r="Q367" s="27"/>
      <c r="R367" s="27"/>
      <c r="S367" s="27"/>
      <c r="T367" s="27"/>
      <c r="U367" s="27"/>
      <c r="V367" s="27"/>
      <c r="AE367" s="27"/>
      <c r="AF367" s="27"/>
      <c r="AG367" s="27"/>
      <c r="AH367" s="27"/>
      <c r="AI367" s="28"/>
      <c r="AJ367" s="29"/>
      <c r="AK367" s="29"/>
      <c r="AL367" s="27"/>
      <c r="AM367" s="27"/>
      <c r="AN367" s="27"/>
      <c r="AO367" s="27"/>
      <c r="AP367" s="27"/>
      <c r="AY367" s="27"/>
      <c r="AZ367" s="27"/>
      <c r="BA367" s="27"/>
      <c r="BB367" s="27"/>
      <c r="BC367" s="28"/>
      <c r="BD367" s="29"/>
      <c r="BE367" s="29"/>
      <c r="BF367" s="27"/>
      <c r="BG367" s="27"/>
      <c r="BH367" s="27"/>
      <c r="BI367" s="27"/>
      <c r="BJ367" s="27"/>
      <c r="BK367" s="27"/>
      <c r="BL367" s="27"/>
      <c r="BM367" s="27"/>
    </row>
    <row r="368">
      <c r="I368" s="27"/>
      <c r="J368" s="27"/>
      <c r="K368" s="27"/>
      <c r="L368" s="27"/>
      <c r="M368" s="28"/>
      <c r="N368" s="29"/>
      <c r="O368" s="29"/>
      <c r="P368" s="29"/>
      <c r="Q368" s="27"/>
      <c r="R368" s="27"/>
      <c r="S368" s="27"/>
      <c r="T368" s="27"/>
      <c r="U368" s="27"/>
      <c r="V368" s="27"/>
      <c r="AE368" s="27"/>
      <c r="AF368" s="27"/>
      <c r="AG368" s="27"/>
      <c r="AH368" s="27"/>
      <c r="AI368" s="28"/>
      <c r="AJ368" s="29"/>
      <c r="AK368" s="29"/>
      <c r="AL368" s="27"/>
      <c r="AM368" s="27"/>
      <c r="AN368" s="27"/>
      <c r="AO368" s="27"/>
      <c r="AP368" s="27"/>
      <c r="AY368" s="27"/>
      <c r="AZ368" s="27"/>
      <c r="BA368" s="27"/>
      <c r="BB368" s="27"/>
      <c r="BC368" s="28"/>
      <c r="BD368" s="29"/>
      <c r="BE368" s="29"/>
      <c r="BF368" s="27"/>
      <c r="BG368" s="27"/>
      <c r="BH368" s="27"/>
      <c r="BI368" s="27"/>
      <c r="BJ368" s="27"/>
      <c r="BK368" s="27"/>
      <c r="BL368" s="27"/>
      <c r="BM368" s="27"/>
    </row>
    <row r="369">
      <c r="I369" s="27"/>
      <c r="J369" s="27"/>
      <c r="K369" s="27"/>
      <c r="L369" s="27"/>
      <c r="M369" s="28"/>
      <c r="N369" s="29"/>
      <c r="O369" s="29"/>
      <c r="P369" s="29"/>
      <c r="Q369" s="27"/>
      <c r="R369" s="27"/>
      <c r="S369" s="27"/>
      <c r="T369" s="27"/>
      <c r="U369" s="27"/>
      <c r="V369" s="27"/>
      <c r="AE369" s="27"/>
      <c r="AF369" s="27"/>
      <c r="AG369" s="27"/>
      <c r="AH369" s="27"/>
      <c r="AI369" s="28"/>
      <c r="AJ369" s="29"/>
      <c r="AK369" s="29"/>
      <c r="AL369" s="27"/>
      <c r="AM369" s="27"/>
      <c r="AN369" s="27"/>
      <c r="AO369" s="27"/>
      <c r="AP369" s="27"/>
      <c r="AY369" s="27"/>
      <c r="AZ369" s="27"/>
      <c r="BA369" s="27"/>
      <c r="BB369" s="27"/>
      <c r="BC369" s="28"/>
      <c r="BD369" s="29"/>
      <c r="BE369" s="29"/>
      <c r="BF369" s="27"/>
      <c r="BG369" s="27"/>
      <c r="BH369" s="27"/>
      <c r="BI369" s="27"/>
      <c r="BJ369" s="27"/>
      <c r="BK369" s="27"/>
      <c r="BL369" s="27"/>
      <c r="BM369" s="27"/>
    </row>
    <row r="370">
      <c r="I370" s="27"/>
      <c r="J370" s="27"/>
      <c r="K370" s="27"/>
      <c r="L370" s="27"/>
      <c r="M370" s="28"/>
      <c r="N370" s="29"/>
      <c r="O370" s="29"/>
      <c r="P370" s="29"/>
      <c r="Q370" s="27"/>
      <c r="R370" s="27"/>
      <c r="S370" s="27"/>
      <c r="T370" s="27"/>
      <c r="U370" s="27"/>
      <c r="V370" s="27"/>
      <c r="AE370" s="27"/>
      <c r="AF370" s="27"/>
      <c r="AG370" s="27"/>
      <c r="AH370" s="27"/>
      <c r="AI370" s="28"/>
      <c r="AJ370" s="29"/>
      <c r="AK370" s="29"/>
      <c r="AL370" s="27"/>
      <c r="AM370" s="27"/>
      <c r="AN370" s="27"/>
      <c r="AO370" s="27"/>
      <c r="AP370" s="27"/>
      <c r="AY370" s="27"/>
      <c r="AZ370" s="27"/>
      <c r="BA370" s="27"/>
      <c r="BB370" s="27"/>
      <c r="BC370" s="28"/>
      <c r="BD370" s="29"/>
      <c r="BE370" s="29"/>
      <c r="BF370" s="27"/>
      <c r="BG370" s="27"/>
      <c r="BH370" s="27"/>
      <c r="BI370" s="27"/>
      <c r="BJ370" s="27"/>
      <c r="BK370" s="27"/>
      <c r="BL370" s="27"/>
      <c r="BM370" s="27"/>
    </row>
    <row r="371">
      <c r="I371" s="27"/>
      <c r="J371" s="27"/>
      <c r="K371" s="27"/>
      <c r="L371" s="27"/>
      <c r="M371" s="28"/>
      <c r="N371" s="29"/>
      <c r="O371" s="29"/>
      <c r="P371" s="29"/>
      <c r="Q371" s="27"/>
      <c r="R371" s="27"/>
      <c r="S371" s="27"/>
      <c r="T371" s="27"/>
      <c r="U371" s="27"/>
      <c r="V371" s="27"/>
      <c r="AE371" s="27"/>
      <c r="AF371" s="27"/>
      <c r="AG371" s="27"/>
      <c r="AH371" s="27"/>
      <c r="AI371" s="28"/>
      <c r="AJ371" s="29"/>
      <c r="AK371" s="29"/>
      <c r="AL371" s="27"/>
      <c r="AM371" s="27"/>
      <c r="AN371" s="27"/>
      <c r="AO371" s="27"/>
      <c r="AP371" s="27"/>
      <c r="AY371" s="27"/>
      <c r="AZ371" s="27"/>
      <c r="BA371" s="27"/>
      <c r="BB371" s="27"/>
      <c r="BC371" s="28"/>
      <c r="BD371" s="29"/>
      <c r="BE371" s="29"/>
      <c r="BF371" s="27"/>
      <c r="BG371" s="27"/>
      <c r="BH371" s="27"/>
      <c r="BI371" s="27"/>
      <c r="BJ371" s="27"/>
      <c r="BK371" s="27"/>
      <c r="BL371" s="27"/>
      <c r="BM371" s="27"/>
    </row>
    <row r="372">
      <c r="I372" s="27"/>
      <c r="J372" s="27"/>
      <c r="K372" s="27"/>
      <c r="L372" s="27"/>
      <c r="M372" s="28"/>
      <c r="N372" s="29"/>
      <c r="O372" s="29"/>
      <c r="P372" s="29"/>
      <c r="Q372" s="27"/>
      <c r="R372" s="27"/>
      <c r="S372" s="27"/>
      <c r="T372" s="27"/>
      <c r="U372" s="27"/>
      <c r="V372" s="27"/>
      <c r="AE372" s="27"/>
      <c r="AF372" s="27"/>
      <c r="AG372" s="27"/>
      <c r="AH372" s="27"/>
      <c r="AI372" s="28"/>
      <c r="AJ372" s="29"/>
      <c r="AK372" s="29"/>
      <c r="AL372" s="27"/>
      <c r="AM372" s="27"/>
      <c r="AN372" s="27"/>
      <c r="AO372" s="27"/>
      <c r="AP372" s="27"/>
      <c r="AY372" s="27"/>
      <c r="AZ372" s="27"/>
      <c r="BA372" s="27"/>
      <c r="BB372" s="27"/>
      <c r="BC372" s="28"/>
      <c r="BD372" s="29"/>
      <c r="BE372" s="29"/>
      <c r="BF372" s="27"/>
      <c r="BG372" s="27"/>
      <c r="BH372" s="27"/>
      <c r="BI372" s="27"/>
      <c r="BJ372" s="27"/>
      <c r="BK372" s="27"/>
      <c r="BL372" s="27"/>
      <c r="BM372" s="27"/>
    </row>
    <row r="373">
      <c r="I373" s="27"/>
      <c r="J373" s="27"/>
      <c r="K373" s="27"/>
      <c r="L373" s="27"/>
      <c r="M373" s="28"/>
      <c r="N373" s="29"/>
      <c r="O373" s="29"/>
      <c r="P373" s="29"/>
      <c r="Q373" s="27"/>
      <c r="R373" s="27"/>
      <c r="S373" s="27"/>
      <c r="T373" s="27"/>
      <c r="U373" s="27"/>
      <c r="V373" s="27"/>
      <c r="AE373" s="27"/>
      <c r="AF373" s="27"/>
      <c r="AG373" s="27"/>
      <c r="AH373" s="27"/>
      <c r="AI373" s="28"/>
      <c r="AJ373" s="29"/>
      <c r="AK373" s="29"/>
      <c r="AL373" s="27"/>
      <c r="AM373" s="27"/>
      <c r="AN373" s="27"/>
      <c r="AO373" s="27"/>
      <c r="AP373" s="27"/>
      <c r="AY373" s="27"/>
      <c r="AZ373" s="27"/>
      <c r="BA373" s="27"/>
      <c r="BB373" s="27"/>
      <c r="BC373" s="28"/>
      <c r="BD373" s="29"/>
      <c r="BE373" s="29"/>
      <c r="BF373" s="27"/>
      <c r="BG373" s="27"/>
      <c r="BH373" s="27"/>
      <c r="BI373" s="27"/>
      <c r="BJ373" s="27"/>
      <c r="BK373" s="27"/>
      <c r="BL373" s="27"/>
      <c r="BM373" s="27"/>
    </row>
    <row r="374">
      <c r="I374" s="27"/>
      <c r="J374" s="27"/>
      <c r="K374" s="27"/>
      <c r="L374" s="27"/>
      <c r="M374" s="28"/>
      <c r="N374" s="29"/>
      <c r="O374" s="29"/>
      <c r="P374" s="29"/>
      <c r="Q374" s="27"/>
      <c r="R374" s="27"/>
      <c r="S374" s="27"/>
      <c r="T374" s="27"/>
      <c r="U374" s="27"/>
      <c r="V374" s="27"/>
      <c r="AE374" s="27"/>
      <c r="AF374" s="27"/>
      <c r="AG374" s="27"/>
      <c r="AH374" s="27"/>
      <c r="AI374" s="28"/>
      <c r="AJ374" s="29"/>
      <c r="AK374" s="29"/>
      <c r="AL374" s="27"/>
      <c r="AM374" s="27"/>
      <c r="AN374" s="27"/>
      <c r="AO374" s="27"/>
      <c r="AP374" s="27"/>
      <c r="AY374" s="27"/>
      <c r="AZ374" s="27"/>
      <c r="BA374" s="27"/>
      <c r="BB374" s="27"/>
      <c r="BC374" s="28"/>
      <c r="BD374" s="29"/>
      <c r="BE374" s="29"/>
      <c r="BF374" s="27"/>
      <c r="BG374" s="27"/>
      <c r="BH374" s="27"/>
      <c r="BI374" s="27"/>
      <c r="BJ374" s="27"/>
      <c r="BK374" s="27"/>
      <c r="BL374" s="27"/>
      <c r="BM374" s="27"/>
    </row>
    <row r="375">
      <c r="I375" s="27"/>
      <c r="J375" s="27"/>
      <c r="K375" s="27"/>
      <c r="L375" s="27"/>
      <c r="M375" s="28"/>
      <c r="N375" s="29"/>
      <c r="O375" s="29"/>
      <c r="P375" s="29"/>
      <c r="Q375" s="27"/>
      <c r="R375" s="27"/>
      <c r="S375" s="27"/>
      <c r="T375" s="27"/>
      <c r="U375" s="27"/>
      <c r="V375" s="27"/>
      <c r="AE375" s="27"/>
      <c r="AF375" s="27"/>
      <c r="AG375" s="27"/>
      <c r="AH375" s="27"/>
      <c r="AI375" s="28"/>
      <c r="AJ375" s="29"/>
      <c r="AK375" s="29"/>
      <c r="AL375" s="27"/>
      <c r="AM375" s="27"/>
      <c r="AN375" s="27"/>
      <c r="AO375" s="27"/>
      <c r="AP375" s="27"/>
      <c r="AY375" s="27"/>
      <c r="AZ375" s="27"/>
      <c r="BA375" s="27"/>
      <c r="BB375" s="27"/>
      <c r="BC375" s="28"/>
      <c r="BD375" s="29"/>
      <c r="BE375" s="29"/>
      <c r="BF375" s="27"/>
      <c r="BG375" s="27"/>
      <c r="BH375" s="27"/>
      <c r="BI375" s="27"/>
      <c r="BJ375" s="27"/>
      <c r="BK375" s="27"/>
      <c r="BL375" s="27"/>
      <c r="BM375" s="27"/>
    </row>
    <row r="376">
      <c r="I376" s="27"/>
      <c r="J376" s="27"/>
      <c r="K376" s="27"/>
      <c r="L376" s="27"/>
      <c r="M376" s="28"/>
      <c r="N376" s="29"/>
      <c r="O376" s="29"/>
      <c r="P376" s="29"/>
      <c r="Q376" s="27"/>
      <c r="R376" s="27"/>
      <c r="S376" s="27"/>
      <c r="T376" s="27"/>
      <c r="U376" s="27"/>
      <c r="V376" s="27"/>
      <c r="AE376" s="27"/>
      <c r="AF376" s="27"/>
      <c r="AG376" s="27"/>
      <c r="AH376" s="27"/>
      <c r="AI376" s="28"/>
      <c r="AJ376" s="29"/>
      <c r="AK376" s="29"/>
      <c r="AL376" s="27"/>
      <c r="AM376" s="27"/>
      <c r="AN376" s="27"/>
      <c r="AO376" s="27"/>
      <c r="AP376" s="27"/>
      <c r="AY376" s="27"/>
      <c r="AZ376" s="27"/>
      <c r="BA376" s="27"/>
      <c r="BB376" s="27"/>
      <c r="BC376" s="28"/>
      <c r="BD376" s="29"/>
      <c r="BE376" s="29"/>
      <c r="BF376" s="27"/>
      <c r="BG376" s="27"/>
      <c r="BH376" s="27"/>
      <c r="BI376" s="27"/>
      <c r="BJ376" s="27"/>
      <c r="BK376" s="27"/>
      <c r="BL376" s="27"/>
      <c r="BM376" s="27"/>
    </row>
    <row r="377">
      <c r="I377" s="27"/>
      <c r="J377" s="27"/>
      <c r="K377" s="27"/>
      <c r="L377" s="27"/>
      <c r="M377" s="28"/>
      <c r="N377" s="29"/>
      <c r="O377" s="29"/>
      <c r="P377" s="29"/>
      <c r="Q377" s="27"/>
      <c r="R377" s="27"/>
      <c r="S377" s="27"/>
      <c r="T377" s="27"/>
      <c r="U377" s="27"/>
      <c r="V377" s="27"/>
      <c r="AE377" s="27"/>
      <c r="AF377" s="27"/>
      <c r="AG377" s="27"/>
      <c r="AH377" s="27"/>
      <c r="AI377" s="28"/>
      <c r="AJ377" s="29"/>
      <c r="AK377" s="29"/>
      <c r="AL377" s="27"/>
      <c r="AM377" s="27"/>
      <c r="AN377" s="27"/>
      <c r="AO377" s="27"/>
      <c r="AP377" s="27"/>
      <c r="AY377" s="27"/>
      <c r="AZ377" s="27"/>
      <c r="BA377" s="27"/>
      <c r="BB377" s="27"/>
      <c r="BC377" s="28"/>
      <c r="BD377" s="29"/>
      <c r="BE377" s="29"/>
      <c r="BF377" s="27"/>
      <c r="BG377" s="27"/>
      <c r="BH377" s="27"/>
      <c r="BI377" s="27"/>
      <c r="BJ377" s="27"/>
      <c r="BK377" s="27"/>
      <c r="BL377" s="27"/>
      <c r="BM377" s="27"/>
    </row>
    <row r="378">
      <c r="I378" s="27"/>
      <c r="J378" s="27"/>
      <c r="K378" s="27"/>
      <c r="L378" s="27"/>
      <c r="M378" s="28"/>
      <c r="N378" s="29"/>
      <c r="O378" s="29"/>
      <c r="P378" s="29"/>
      <c r="Q378" s="27"/>
      <c r="R378" s="27"/>
      <c r="S378" s="27"/>
      <c r="T378" s="27"/>
      <c r="U378" s="27"/>
      <c r="V378" s="27"/>
      <c r="AE378" s="27"/>
      <c r="AF378" s="27"/>
      <c r="AG378" s="27"/>
      <c r="AH378" s="27"/>
      <c r="AI378" s="28"/>
      <c r="AJ378" s="29"/>
      <c r="AK378" s="29"/>
      <c r="AL378" s="27"/>
      <c r="AM378" s="27"/>
      <c r="AN378" s="27"/>
      <c r="AO378" s="27"/>
      <c r="AP378" s="27"/>
      <c r="AY378" s="27"/>
      <c r="AZ378" s="27"/>
      <c r="BA378" s="27"/>
      <c r="BB378" s="27"/>
      <c r="BC378" s="28"/>
      <c r="BD378" s="29"/>
      <c r="BE378" s="29"/>
      <c r="BF378" s="27"/>
      <c r="BG378" s="27"/>
      <c r="BH378" s="27"/>
      <c r="BI378" s="27"/>
      <c r="BJ378" s="27"/>
      <c r="BK378" s="27"/>
      <c r="BL378" s="27"/>
      <c r="BM378" s="27"/>
    </row>
    <row r="379">
      <c r="I379" s="27"/>
      <c r="J379" s="27"/>
      <c r="K379" s="27"/>
      <c r="L379" s="27"/>
      <c r="M379" s="28"/>
      <c r="N379" s="29"/>
      <c r="O379" s="29"/>
      <c r="P379" s="29"/>
      <c r="Q379" s="27"/>
      <c r="R379" s="27"/>
      <c r="S379" s="27"/>
      <c r="T379" s="27"/>
      <c r="U379" s="27"/>
      <c r="V379" s="27"/>
      <c r="AE379" s="27"/>
      <c r="AF379" s="27"/>
      <c r="AG379" s="27"/>
      <c r="AH379" s="27"/>
      <c r="AI379" s="28"/>
      <c r="AJ379" s="29"/>
      <c r="AK379" s="29"/>
      <c r="AL379" s="27"/>
      <c r="AM379" s="27"/>
      <c r="AN379" s="27"/>
      <c r="AO379" s="27"/>
      <c r="AP379" s="27"/>
      <c r="AY379" s="27"/>
      <c r="AZ379" s="27"/>
      <c r="BA379" s="27"/>
      <c r="BB379" s="27"/>
      <c r="BC379" s="28"/>
      <c r="BD379" s="29"/>
      <c r="BE379" s="29"/>
      <c r="BF379" s="27"/>
      <c r="BG379" s="27"/>
      <c r="BH379" s="27"/>
      <c r="BI379" s="27"/>
      <c r="BJ379" s="27"/>
      <c r="BK379" s="27"/>
      <c r="BL379" s="27"/>
      <c r="BM379" s="27"/>
    </row>
    <row r="380">
      <c r="I380" s="27"/>
      <c r="J380" s="27"/>
      <c r="K380" s="27"/>
      <c r="L380" s="27"/>
      <c r="M380" s="28"/>
      <c r="N380" s="29"/>
      <c r="O380" s="29"/>
      <c r="P380" s="29"/>
      <c r="Q380" s="27"/>
      <c r="R380" s="27"/>
      <c r="S380" s="27"/>
      <c r="T380" s="27"/>
      <c r="U380" s="27"/>
      <c r="V380" s="27"/>
      <c r="AE380" s="27"/>
      <c r="AF380" s="27"/>
      <c r="AG380" s="27"/>
      <c r="AH380" s="27"/>
      <c r="AI380" s="28"/>
      <c r="AJ380" s="29"/>
      <c r="AK380" s="29"/>
      <c r="AL380" s="27"/>
      <c r="AM380" s="27"/>
      <c r="AN380" s="27"/>
      <c r="AO380" s="27"/>
      <c r="AP380" s="27"/>
      <c r="AY380" s="27"/>
      <c r="AZ380" s="27"/>
      <c r="BA380" s="27"/>
      <c r="BB380" s="27"/>
      <c r="BC380" s="28"/>
      <c r="BD380" s="29"/>
      <c r="BE380" s="29"/>
      <c r="BF380" s="27"/>
      <c r="BG380" s="27"/>
      <c r="BH380" s="27"/>
      <c r="BI380" s="27"/>
      <c r="BJ380" s="27"/>
      <c r="BK380" s="27"/>
      <c r="BL380" s="27"/>
      <c r="BM380" s="27"/>
    </row>
    <row r="381">
      <c r="I381" s="27"/>
      <c r="J381" s="27"/>
      <c r="K381" s="27"/>
      <c r="L381" s="27"/>
      <c r="M381" s="28"/>
      <c r="N381" s="29"/>
      <c r="O381" s="29"/>
      <c r="P381" s="29"/>
      <c r="Q381" s="27"/>
      <c r="R381" s="27"/>
      <c r="S381" s="27"/>
      <c r="T381" s="27"/>
      <c r="U381" s="27"/>
      <c r="V381" s="27"/>
      <c r="AE381" s="27"/>
      <c r="AF381" s="27"/>
      <c r="AG381" s="27"/>
      <c r="AH381" s="27"/>
      <c r="AI381" s="28"/>
      <c r="AJ381" s="29"/>
      <c r="AK381" s="29"/>
      <c r="AL381" s="27"/>
      <c r="AM381" s="27"/>
      <c r="AN381" s="27"/>
      <c r="AO381" s="27"/>
      <c r="AP381" s="27"/>
      <c r="AY381" s="27"/>
      <c r="AZ381" s="27"/>
      <c r="BA381" s="27"/>
      <c r="BB381" s="27"/>
      <c r="BC381" s="28"/>
      <c r="BD381" s="29"/>
      <c r="BE381" s="29"/>
      <c r="BF381" s="27"/>
      <c r="BG381" s="27"/>
      <c r="BH381" s="27"/>
      <c r="BI381" s="27"/>
      <c r="BJ381" s="27"/>
      <c r="BK381" s="27"/>
      <c r="BL381" s="27"/>
      <c r="BM381" s="27"/>
    </row>
    <row r="382">
      <c r="I382" s="27"/>
      <c r="J382" s="27"/>
      <c r="K382" s="27"/>
      <c r="L382" s="27"/>
      <c r="M382" s="28"/>
      <c r="N382" s="29"/>
      <c r="O382" s="29"/>
      <c r="P382" s="29"/>
      <c r="Q382" s="27"/>
      <c r="R382" s="27"/>
      <c r="S382" s="27"/>
      <c r="T382" s="27"/>
      <c r="U382" s="27"/>
      <c r="V382" s="27"/>
      <c r="AE382" s="27"/>
      <c r="AF382" s="27"/>
      <c r="AG382" s="27"/>
      <c r="AH382" s="27"/>
      <c r="AI382" s="28"/>
      <c r="AJ382" s="29"/>
      <c r="AK382" s="29"/>
      <c r="AL382" s="27"/>
      <c r="AM382" s="27"/>
      <c r="AN382" s="27"/>
      <c r="AO382" s="27"/>
      <c r="AP382" s="27"/>
      <c r="AY382" s="27"/>
      <c r="AZ382" s="27"/>
      <c r="BA382" s="27"/>
      <c r="BB382" s="27"/>
      <c r="BC382" s="28"/>
      <c r="BD382" s="29"/>
      <c r="BE382" s="29"/>
      <c r="BF382" s="27"/>
      <c r="BG382" s="27"/>
      <c r="BH382" s="27"/>
      <c r="BI382" s="27"/>
      <c r="BJ382" s="27"/>
      <c r="BK382" s="27"/>
      <c r="BL382" s="27"/>
      <c r="BM382" s="27"/>
    </row>
    <row r="383">
      <c r="I383" s="27"/>
      <c r="J383" s="27"/>
      <c r="K383" s="27"/>
      <c r="L383" s="27"/>
      <c r="M383" s="28"/>
      <c r="N383" s="29"/>
      <c r="O383" s="29"/>
      <c r="P383" s="29"/>
      <c r="Q383" s="27"/>
      <c r="R383" s="27"/>
      <c r="S383" s="27"/>
      <c r="T383" s="27"/>
      <c r="U383" s="27"/>
      <c r="V383" s="27"/>
      <c r="AE383" s="27"/>
      <c r="AF383" s="27"/>
      <c r="AG383" s="27"/>
      <c r="AH383" s="27"/>
      <c r="AI383" s="28"/>
      <c r="AJ383" s="29"/>
      <c r="AK383" s="29"/>
      <c r="AL383" s="27"/>
      <c r="AM383" s="27"/>
      <c r="AN383" s="27"/>
      <c r="AO383" s="27"/>
      <c r="AP383" s="27"/>
      <c r="AY383" s="27"/>
      <c r="AZ383" s="27"/>
      <c r="BA383" s="27"/>
      <c r="BB383" s="27"/>
      <c r="BC383" s="28"/>
      <c r="BD383" s="29"/>
      <c r="BE383" s="29"/>
      <c r="BF383" s="27"/>
      <c r="BG383" s="27"/>
      <c r="BH383" s="27"/>
      <c r="BI383" s="27"/>
      <c r="BJ383" s="27"/>
      <c r="BK383" s="27"/>
      <c r="BL383" s="27"/>
      <c r="BM383" s="27"/>
    </row>
    <row r="384">
      <c r="I384" s="27"/>
      <c r="J384" s="27"/>
      <c r="K384" s="27"/>
      <c r="L384" s="27"/>
      <c r="M384" s="28"/>
      <c r="N384" s="29"/>
      <c r="O384" s="29"/>
      <c r="P384" s="29"/>
      <c r="Q384" s="27"/>
      <c r="R384" s="27"/>
      <c r="S384" s="27"/>
      <c r="T384" s="27"/>
      <c r="U384" s="27"/>
      <c r="V384" s="27"/>
      <c r="AE384" s="27"/>
      <c r="AF384" s="27"/>
      <c r="AG384" s="27"/>
      <c r="AH384" s="27"/>
      <c r="AI384" s="28"/>
      <c r="AJ384" s="29"/>
      <c r="AK384" s="29"/>
      <c r="AL384" s="27"/>
      <c r="AM384" s="27"/>
      <c r="AN384" s="27"/>
      <c r="AO384" s="27"/>
      <c r="AP384" s="27"/>
      <c r="AY384" s="27"/>
      <c r="AZ384" s="27"/>
      <c r="BA384" s="27"/>
      <c r="BB384" s="27"/>
      <c r="BC384" s="28"/>
      <c r="BD384" s="29"/>
      <c r="BE384" s="29"/>
      <c r="BF384" s="27"/>
      <c r="BG384" s="27"/>
      <c r="BH384" s="27"/>
      <c r="BI384" s="27"/>
      <c r="BJ384" s="27"/>
      <c r="BK384" s="27"/>
      <c r="BL384" s="27"/>
      <c r="BM384" s="27"/>
    </row>
    <row r="385">
      <c r="I385" s="27"/>
      <c r="J385" s="27"/>
      <c r="K385" s="27"/>
      <c r="L385" s="27"/>
      <c r="M385" s="28"/>
      <c r="N385" s="29"/>
      <c r="O385" s="29"/>
      <c r="P385" s="29"/>
      <c r="Q385" s="27"/>
      <c r="R385" s="27"/>
      <c r="S385" s="27"/>
      <c r="T385" s="27"/>
      <c r="U385" s="27"/>
      <c r="V385" s="27"/>
      <c r="AE385" s="27"/>
      <c r="AF385" s="27"/>
      <c r="AG385" s="27"/>
      <c r="AH385" s="27"/>
      <c r="AI385" s="28"/>
      <c r="AJ385" s="29"/>
      <c r="AK385" s="29"/>
      <c r="AL385" s="27"/>
      <c r="AM385" s="27"/>
      <c r="AN385" s="27"/>
      <c r="AO385" s="27"/>
      <c r="AP385" s="27"/>
      <c r="AY385" s="27"/>
      <c r="AZ385" s="27"/>
      <c r="BA385" s="27"/>
      <c r="BB385" s="27"/>
      <c r="BC385" s="28"/>
      <c r="BD385" s="29"/>
      <c r="BE385" s="29"/>
      <c r="BF385" s="27"/>
      <c r="BG385" s="27"/>
      <c r="BH385" s="27"/>
      <c r="BI385" s="27"/>
      <c r="BJ385" s="27"/>
      <c r="BK385" s="27"/>
      <c r="BL385" s="27"/>
      <c r="BM385" s="27"/>
    </row>
    <row r="386">
      <c r="I386" s="27"/>
      <c r="J386" s="27"/>
      <c r="K386" s="27"/>
      <c r="L386" s="27"/>
      <c r="M386" s="28"/>
      <c r="N386" s="29"/>
      <c r="O386" s="29"/>
      <c r="P386" s="29"/>
      <c r="Q386" s="27"/>
      <c r="R386" s="27"/>
      <c r="S386" s="27"/>
      <c r="T386" s="27"/>
      <c r="U386" s="27"/>
      <c r="V386" s="27"/>
      <c r="AE386" s="27"/>
      <c r="AF386" s="27"/>
      <c r="AG386" s="27"/>
      <c r="AH386" s="27"/>
      <c r="AI386" s="28"/>
      <c r="AJ386" s="29"/>
      <c r="AK386" s="29"/>
      <c r="AL386" s="27"/>
      <c r="AM386" s="27"/>
      <c r="AN386" s="27"/>
      <c r="AO386" s="27"/>
      <c r="AP386" s="27"/>
      <c r="AY386" s="27"/>
      <c r="AZ386" s="27"/>
      <c r="BA386" s="27"/>
      <c r="BB386" s="27"/>
      <c r="BC386" s="28"/>
      <c r="BD386" s="29"/>
      <c r="BE386" s="29"/>
      <c r="BF386" s="27"/>
      <c r="BG386" s="27"/>
      <c r="BH386" s="27"/>
      <c r="BI386" s="27"/>
      <c r="BJ386" s="27"/>
      <c r="BK386" s="27"/>
      <c r="BL386" s="27"/>
      <c r="BM386" s="27"/>
    </row>
    <row r="387">
      <c r="I387" s="27"/>
      <c r="J387" s="27"/>
      <c r="K387" s="27"/>
      <c r="L387" s="27"/>
      <c r="M387" s="28"/>
      <c r="N387" s="29"/>
      <c r="O387" s="29"/>
      <c r="P387" s="29"/>
      <c r="Q387" s="27"/>
      <c r="R387" s="27"/>
      <c r="S387" s="27"/>
      <c r="T387" s="27"/>
      <c r="U387" s="27"/>
      <c r="V387" s="27"/>
      <c r="AE387" s="27"/>
      <c r="AF387" s="27"/>
      <c r="AG387" s="27"/>
      <c r="AH387" s="27"/>
      <c r="AI387" s="28"/>
      <c r="AJ387" s="29"/>
      <c r="AK387" s="29"/>
      <c r="AL387" s="27"/>
      <c r="AM387" s="27"/>
      <c r="AN387" s="27"/>
      <c r="AO387" s="27"/>
      <c r="AP387" s="27"/>
      <c r="AY387" s="27"/>
      <c r="AZ387" s="27"/>
      <c r="BA387" s="27"/>
      <c r="BB387" s="27"/>
      <c r="BC387" s="28"/>
      <c r="BD387" s="29"/>
      <c r="BE387" s="29"/>
      <c r="BF387" s="27"/>
      <c r="BG387" s="27"/>
      <c r="BH387" s="27"/>
      <c r="BI387" s="27"/>
      <c r="BJ387" s="27"/>
      <c r="BK387" s="27"/>
      <c r="BL387" s="27"/>
      <c r="BM387" s="27"/>
    </row>
    <row r="388">
      <c r="I388" s="27"/>
      <c r="J388" s="27"/>
      <c r="K388" s="27"/>
      <c r="L388" s="27"/>
      <c r="M388" s="28"/>
      <c r="N388" s="29"/>
      <c r="O388" s="29"/>
      <c r="P388" s="29"/>
      <c r="Q388" s="27"/>
      <c r="R388" s="27"/>
      <c r="S388" s="27"/>
      <c r="T388" s="27"/>
      <c r="U388" s="27"/>
      <c r="V388" s="27"/>
      <c r="AE388" s="27"/>
      <c r="AF388" s="27"/>
      <c r="AG388" s="27"/>
      <c r="AH388" s="27"/>
      <c r="AI388" s="28"/>
      <c r="AJ388" s="29"/>
      <c r="AK388" s="29"/>
      <c r="AL388" s="27"/>
      <c r="AM388" s="27"/>
      <c r="AN388" s="27"/>
      <c r="AO388" s="27"/>
      <c r="AP388" s="27"/>
      <c r="AY388" s="27"/>
      <c r="AZ388" s="27"/>
      <c r="BA388" s="27"/>
      <c r="BB388" s="27"/>
      <c r="BC388" s="28"/>
      <c r="BD388" s="29"/>
      <c r="BE388" s="29"/>
      <c r="BF388" s="27"/>
      <c r="BG388" s="27"/>
      <c r="BH388" s="27"/>
      <c r="BI388" s="27"/>
      <c r="BJ388" s="27"/>
      <c r="BK388" s="27"/>
      <c r="BL388" s="27"/>
      <c r="BM388" s="27"/>
    </row>
    <row r="389">
      <c r="I389" s="27"/>
      <c r="J389" s="27"/>
      <c r="K389" s="27"/>
      <c r="L389" s="27"/>
      <c r="M389" s="28"/>
      <c r="N389" s="29"/>
      <c r="O389" s="29"/>
      <c r="P389" s="29"/>
      <c r="Q389" s="27"/>
      <c r="R389" s="27"/>
      <c r="S389" s="27"/>
      <c r="T389" s="27"/>
      <c r="U389" s="27"/>
      <c r="V389" s="27"/>
      <c r="AE389" s="27"/>
      <c r="AF389" s="27"/>
      <c r="AG389" s="27"/>
      <c r="AH389" s="27"/>
      <c r="AI389" s="28"/>
      <c r="AJ389" s="29"/>
      <c r="AK389" s="29"/>
      <c r="AL389" s="27"/>
      <c r="AM389" s="27"/>
      <c r="AN389" s="27"/>
      <c r="AO389" s="27"/>
      <c r="AP389" s="27"/>
      <c r="AY389" s="27"/>
      <c r="AZ389" s="27"/>
      <c r="BA389" s="27"/>
      <c r="BB389" s="27"/>
      <c r="BC389" s="28"/>
      <c r="BD389" s="29"/>
      <c r="BE389" s="29"/>
      <c r="BF389" s="27"/>
      <c r="BG389" s="27"/>
      <c r="BH389" s="27"/>
      <c r="BI389" s="27"/>
      <c r="BJ389" s="27"/>
      <c r="BK389" s="27"/>
      <c r="BL389" s="27"/>
      <c r="BM389" s="27"/>
    </row>
    <row r="390">
      <c r="I390" s="27"/>
      <c r="J390" s="27"/>
      <c r="K390" s="27"/>
      <c r="L390" s="27"/>
      <c r="M390" s="28"/>
      <c r="N390" s="29"/>
      <c r="O390" s="29"/>
      <c r="P390" s="29"/>
      <c r="Q390" s="27"/>
      <c r="R390" s="27"/>
      <c r="S390" s="27"/>
      <c r="T390" s="27"/>
      <c r="U390" s="27"/>
      <c r="V390" s="27"/>
      <c r="AE390" s="27"/>
      <c r="AF390" s="27"/>
      <c r="AG390" s="27"/>
      <c r="AH390" s="27"/>
      <c r="AI390" s="28"/>
      <c r="AJ390" s="29"/>
      <c r="AK390" s="29"/>
      <c r="AL390" s="27"/>
      <c r="AM390" s="27"/>
      <c r="AN390" s="27"/>
      <c r="AO390" s="27"/>
      <c r="AP390" s="27"/>
      <c r="AY390" s="27"/>
      <c r="AZ390" s="27"/>
      <c r="BA390" s="27"/>
      <c r="BB390" s="27"/>
      <c r="BC390" s="28"/>
      <c r="BD390" s="29"/>
      <c r="BE390" s="29"/>
      <c r="BF390" s="27"/>
      <c r="BG390" s="27"/>
      <c r="BH390" s="27"/>
      <c r="BI390" s="27"/>
      <c r="BJ390" s="27"/>
      <c r="BK390" s="27"/>
      <c r="BL390" s="27"/>
      <c r="BM390" s="27"/>
    </row>
    <row r="391">
      <c r="I391" s="27"/>
      <c r="J391" s="27"/>
      <c r="K391" s="27"/>
      <c r="L391" s="27"/>
      <c r="M391" s="28"/>
      <c r="N391" s="29"/>
      <c r="O391" s="29"/>
      <c r="P391" s="29"/>
      <c r="Q391" s="27"/>
      <c r="R391" s="27"/>
      <c r="S391" s="27"/>
      <c r="T391" s="27"/>
      <c r="U391" s="27"/>
      <c r="V391" s="27"/>
      <c r="AE391" s="27"/>
      <c r="AF391" s="27"/>
      <c r="AG391" s="27"/>
      <c r="AH391" s="27"/>
      <c r="AI391" s="28"/>
      <c r="AJ391" s="29"/>
      <c r="AK391" s="29"/>
      <c r="AL391" s="27"/>
      <c r="AM391" s="27"/>
      <c r="AN391" s="27"/>
      <c r="AO391" s="27"/>
      <c r="AP391" s="27"/>
      <c r="AY391" s="27"/>
      <c r="AZ391" s="27"/>
      <c r="BA391" s="27"/>
      <c r="BB391" s="27"/>
      <c r="BC391" s="28"/>
      <c r="BD391" s="29"/>
      <c r="BE391" s="29"/>
      <c r="BF391" s="27"/>
      <c r="BG391" s="27"/>
      <c r="BH391" s="27"/>
      <c r="BI391" s="27"/>
      <c r="BJ391" s="27"/>
      <c r="BK391" s="27"/>
      <c r="BL391" s="27"/>
      <c r="BM391" s="27"/>
    </row>
    <row r="392">
      <c r="I392" s="27"/>
      <c r="J392" s="27"/>
      <c r="K392" s="27"/>
      <c r="L392" s="27"/>
      <c r="M392" s="28"/>
      <c r="N392" s="29"/>
      <c r="O392" s="29"/>
      <c r="P392" s="29"/>
      <c r="Q392" s="27"/>
      <c r="R392" s="27"/>
      <c r="S392" s="27"/>
      <c r="T392" s="27"/>
      <c r="U392" s="27"/>
      <c r="V392" s="27"/>
      <c r="AE392" s="27"/>
      <c r="AF392" s="27"/>
      <c r="AG392" s="27"/>
      <c r="AH392" s="27"/>
      <c r="AI392" s="28"/>
      <c r="AJ392" s="29"/>
      <c r="AK392" s="29"/>
      <c r="AL392" s="27"/>
      <c r="AM392" s="27"/>
      <c r="AN392" s="27"/>
      <c r="AO392" s="27"/>
      <c r="AP392" s="27"/>
      <c r="AY392" s="27"/>
      <c r="AZ392" s="27"/>
      <c r="BA392" s="27"/>
      <c r="BB392" s="27"/>
      <c r="BC392" s="28"/>
      <c r="BD392" s="29"/>
      <c r="BE392" s="29"/>
      <c r="BF392" s="27"/>
      <c r="BG392" s="27"/>
      <c r="BH392" s="27"/>
      <c r="BI392" s="27"/>
      <c r="BJ392" s="27"/>
      <c r="BK392" s="27"/>
      <c r="BL392" s="27"/>
      <c r="BM392" s="27"/>
    </row>
    <row r="393">
      <c r="I393" s="27"/>
      <c r="J393" s="27"/>
      <c r="K393" s="27"/>
      <c r="L393" s="27"/>
      <c r="M393" s="28"/>
      <c r="N393" s="29"/>
      <c r="O393" s="29"/>
      <c r="P393" s="29"/>
      <c r="Q393" s="27"/>
      <c r="R393" s="27"/>
      <c r="S393" s="27"/>
      <c r="T393" s="27"/>
      <c r="U393" s="27"/>
      <c r="V393" s="27"/>
      <c r="AE393" s="27"/>
      <c r="AF393" s="27"/>
      <c r="AG393" s="27"/>
      <c r="AH393" s="27"/>
      <c r="AI393" s="28"/>
      <c r="AJ393" s="29"/>
      <c r="AK393" s="29"/>
      <c r="AL393" s="27"/>
      <c r="AM393" s="27"/>
      <c r="AN393" s="27"/>
      <c r="AO393" s="27"/>
      <c r="AP393" s="27"/>
      <c r="AY393" s="27"/>
      <c r="AZ393" s="27"/>
      <c r="BA393" s="27"/>
      <c r="BB393" s="27"/>
      <c r="BC393" s="28"/>
      <c r="BD393" s="29"/>
      <c r="BE393" s="29"/>
      <c r="BF393" s="27"/>
      <c r="BG393" s="27"/>
      <c r="BH393" s="27"/>
      <c r="BI393" s="27"/>
      <c r="BJ393" s="27"/>
      <c r="BK393" s="27"/>
      <c r="BL393" s="27"/>
      <c r="BM393" s="27"/>
    </row>
    <row r="394">
      <c r="I394" s="27"/>
      <c r="J394" s="27"/>
      <c r="K394" s="27"/>
      <c r="L394" s="27"/>
      <c r="M394" s="28"/>
      <c r="N394" s="29"/>
      <c r="O394" s="29"/>
      <c r="P394" s="29"/>
      <c r="Q394" s="27"/>
      <c r="R394" s="27"/>
      <c r="S394" s="27"/>
      <c r="T394" s="27"/>
      <c r="U394" s="27"/>
      <c r="V394" s="27"/>
      <c r="AE394" s="27"/>
      <c r="AF394" s="27"/>
      <c r="AG394" s="27"/>
      <c r="AH394" s="27"/>
      <c r="AI394" s="28"/>
      <c r="AJ394" s="29"/>
      <c r="AK394" s="29"/>
      <c r="AL394" s="27"/>
      <c r="AM394" s="27"/>
      <c r="AN394" s="27"/>
      <c r="AO394" s="27"/>
      <c r="AP394" s="27"/>
      <c r="AY394" s="27"/>
      <c r="AZ394" s="27"/>
      <c r="BA394" s="27"/>
      <c r="BB394" s="27"/>
      <c r="BC394" s="28"/>
      <c r="BD394" s="29"/>
      <c r="BE394" s="29"/>
      <c r="BF394" s="27"/>
      <c r="BG394" s="27"/>
      <c r="BH394" s="27"/>
      <c r="BI394" s="27"/>
      <c r="BJ394" s="27"/>
      <c r="BK394" s="27"/>
      <c r="BL394" s="27"/>
      <c r="BM394" s="27"/>
    </row>
    <row r="395">
      <c r="I395" s="27"/>
      <c r="J395" s="27"/>
      <c r="K395" s="27"/>
      <c r="L395" s="27"/>
      <c r="M395" s="28"/>
      <c r="N395" s="29"/>
      <c r="O395" s="29"/>
      <c r="P395" s="29"/>
      <c r="Q395" s="27"/>
      <c r="R395" s="27"/>
      <c r="S395" s="27"/>
      <c r="T395" s="27"/>
      <c r="U395" s="27"/>
      <c r="V395" s="27"/>
      <c r="AE395" s="27"/>
      <c r="AF395" s="27"/>
      <c r="AG395" s="27"/>
      <c r="AH395" s="27"/>
      <c r="AI395" s="28"/>
      <c r="AJ395" s="29"/>
      <c r="AK395" s="29"/>
      <c r="AL395" s="27"/>
      <c r="AM395" s="27"/>
      <c r="AN395" s="27"/>
      <c r="AO395" s="27"/>
      <c r="AP395" s="27"/>
      <c r="AY395" s="27"/>
      <c r="AZ395" s="27"/>
      <c r="BA395" s="27"/>
      <c r="BB395" s="27"/>
      <c r="BC395" s="28"/>
      <c r="BD395" s="29"/>
      <c r="BE395" s="29"/>
      <c r="BF395" s="27"/>
      <c r="BG395" s="27"/>
      <c r="BH395" s="27"/>
      <c r="BI395" s="27"/>
      <c r="BJ395" s="27"/>
      <c r="BK395" s="27"/>
      <c r="BL395" s="27"/>
      <c r="BM395" s="27"/>
    </row>
    <row r="396">
      <c r="I396" s="27"/>
      <c r="J396" s="27"/>
      <c r="K396" s="27"/>
      <c r="L396" s="27"/>
      <c r="M396" s="28"/>
      <c r="N396" s="29"/>
      <c r="O396" s="29"/>
      <c r="P396" s="29"/>
      <c r="Q396" s="27"/>
      <c r="R396" s="27"/>
      <c r="S396" s="27"/>
      <c r="T396" s="27"/>
      <c r="U396" s="27"/>
      <c r="V396" s="27"/>
      <c r="AE396" s="27"/>
      <c r="AF396" s="27"/>
      <c r="AG396" s="27"/>
      <c r="AH396" s="27"/>
      <c r="AI396" s="28"/>
      <c r="AJ396" s="29"/>
      <c r="AK396" s="29"/>
      <c r="AL396" s="27"/>
      <c r="AM396" s="27"/>
      <c r="AN396" s="27"/>
      <c r="AO396" s="27"/>
      <c r="AP396" s="27"/>
      <c r="AY396" s="27"/>
      <c r="AZ396" s="27"/>
      <c r="BA396" s="27"/>
      <c r="BB396" s="27"/>
      <c r="BC396" s="28"/>
      <c r="BD396" s="29"/>
      <c r="BE396" s="29"/>
      <c r="BF396" s="27"/>
      <c r="BG396" s="27"/>
      <c r="BH396" s="27"/>
      <c r="BI396" s="27"/>
      <c r="BJ396" s="27"/>
      <c r="BK396" s="27"/>
      <c r="BL396" s="27"/>
      <c r="BM396" s="27"/>
    </row>
    <row r="397">
      <c r="I397" s="27"/>
      <c r="J397" s="27"/>
      <c r="K397" s="27"/>
      <c r="L397" s="27"/>
      <c r="M397" s="28"/>
      <c r="N397" s="29"/>
      <c r="O397" s="29"/>
      <c r="P397" s="29"/>
      <c r="Q397" s="27"/>
      <c r="R397" s="27"/>
      <c r="S397" s="27"/>
      <c r="T397" s="27"/>
      <c r="U397" s="27"/>
      <c r="V397" s="27"/>
      <c r="AE397" s="27"/>
      <c r="AF397" s="27"/>
      <c r="AG397" s="27"/>
      <c r="AH397" s="27"/>
      <c r="AI397" s="28"/>
      <c r="AJ397" s="29"/>
      <c r="AK397" s="29"/>
      <c r="AL397" s="27"/>
      <c r="AM397" s="27"/>
      <c r="AN397" s="27"/>
      <c r="AO397" s="27"/>
      <c r="AP397" s="27"/>
      <c r="AY397" s="27"/>
      <c r="AZ397" s="27"/>
      <c r="BA397" s="27"/>
      <c r="BB397" s="27"/>
      <c r="BC397" s="28"/>
      <c r="BD397" s="29"/>
      <c r="BE397" s="29"/>
      <c r="BF397" s="27"/>
      <c r="BG397" s="27"/>
      <c r="BH397" s="27"/>
      <c r="BI397" s="27"/>
      <c r="BJ397" s="27"/>
      <c r="BK397" s="27"/>
      <c r="BL397" s="27"/>
      <c r="BM397" s="27"/>
    </row>
    <row r="398">
      <c r="I398" s="27"/>
      <c r="J398" s="27"/>
      <c r="K398" s="27"/>
      <c r="L398" s="27"/>
      <c r="M398" s="28"/>
      <c r="N398" s="29"/>
      <c r="O398" s="29"/>
      <c r="P398" s="29"/>
      <c r="Q398" s="27"/>
      <c r="R398" s="27"/>
      <c r="S398" s="27"/>
      <c r="T398" s="27"/>
      <c r="U398" s="27"/>
      <c r="V398" s="27"/>
      <c r="AE398" s="27"/>
      <c r="AF398" s="27"/>
      <c r="AG398" s="27"/>
      <c r="AH398" s="27"/>
      <c r="AI398" s="28"/>
      <c r="AJ398" s="29"/>
      <c r="AK398" s="29"/>
      <c r="AL398" s="27"/>
      <c r="AM398" s="27"/>
      <c r="AN398" s="27"/>
      <c r="AO398" s="27"/>
      <c r="AP398" s="27"/>
      <c r="AY398" s="27"/>
      <c r="AZ398" s="27"/>
      <c r="BA398" s="27"/>
      <c r="BB398" s="27"/>
      <c r="BC398" s="28"/>
      <c r="BD398" s="29"/>
      <c r="BE398" s="29"/>
      <c r="BF398" s="27"/>
      <c r="BG398" s="27"/>
      <c r="BH398" s="27"/>
      <c r="BI398" s="27"/>
      <c r="BJ398" s="27"/>
      <c r="BK398" s="27"/>
      <c r="BL398" s="27"/>
      <c r="BM398" s="27"/>
    </row>
    <row r="399">
      <c r="I399" s="27"/>
      <c r="J399" s="27"/>
      <c r="K399" s="27"/>
      <c r="L399" s="27"/>
      <c r="M399" s="28"/>
      <c r="N399" s="29"/>
      <c r="O399" s="29"/>
      <c r="P399" s="29"/>
      <c r="Q399" s="27"/>
      <c r="R399" s="27"/>
      <c r="S399" s="27"/>
      <c r="T399" s="27"/>
      <c r="U399" s="27"/>
      <c r="V399" s="27"/>
      <c r="AE399" s="27"/>
      <c r="AF399" s="27"/>
      <c r="AG399" s="27"/>
      <c r="AH399" s="27"/>
      <c r="AI399" s="28"/>
      <c r="AJ399" s="29"/>
      <c r="AK399" s="29"/>
      <c r="AL399" s="27"/>
      <c r="AM399" s="27"/>
      <c r="AN399" s="27"/>
      <c r="AO399" s="27"/>
      <c r="AP399" s="27"/>
      <c r="AY399" s="27"/>
      <c r="AZ399" s="27"/>
      <c r="BA399" s="27"/>
      <c r="BB399" s="27"/>
      <c r="BC399" s="28"/>
      <c r="BD399" s="29"/>
      <c r="BE399" s="29"/>
      <c r="BF399" s="27"/>
      <c r="BG399" s="27"/>
      <c r="BH399" s="27"/>
      <c r="BI399" s="27"/>
      <c r="BJ399" s="27"/>
      <c r="BK399" s="27"/>
      <c r="BL399" s="27"/>
      <c r="BM399" s="27"/>
    </row>
    <row r="400">
      <c r="I400" s="27"/>
      <c r="J400" s="27"/>
      <c r="K400" s="27"/>
      <c r="L400" s="27"/>
      <c r="M400" s="28"/>
      <c r="N400" s="29"/>
      <c r="O400" s="29"/>
      <c r="P400" s="29"/>
      <c r="Q400" s="27"/>
      <c r="R400" s="27"/>
      <c r="S400" s="27"/>
      <c r="T400" s="27"/>
      <c r="U400" s="27"/>
      <c r="V400" s="27"/>
      <c r="AE400" s="27"/>
      <c r="AF400" s="27"/>
      <c r="AG400" s="27"/>
      <c r="AH400" s="27"/>
      <c r="AI400" s="28"/>
      <c r="AJ400" s="29"/>
      <c r="AK400" s="29"/>
      <c r="AL400" s="27"/>
      <c r="AM400" s="27"/>
      <c r="AN400" s="27"/>
      <c r="AO400" s="27"/>
      <c r="AP400" s="27"/>
      <c r="AY400" s="27"/>
      <c r="AZ400" s="27"/>
      <c r="BA400" s="27"/>
      <c r="BB400" s="27"/>
      <c r="BC400" s="28"/>
      <c r="BD400" s="29"/>
      <c r="BE400" s="29"/>
      <c r="BF400" s="27"/>
      <c r="BG400" s="27"/>
      <c r="BH400" s="27"/>
      <c r="BI400" s="27"/>
      <c r="BJ400" s="27"/>
      <c r="BK400" s="27"/>
      <c r="BL400" s="27"/>
      <c r="BM400" s="27"/>
    </row>
    <row r="401">
      <c r="I401" s="27"/>
      <c r="J401" s="27"/>
      <c r="K401" s="27"/>
      <c r="L401" s="27"/>
      <c r="M401" s="28"/>
      <c r="N401" s="29"/>
      <c r="O401" s="29"/>
      <c r="P401" s="29"/>
      <c r="Q401" s="27"/>
      <c r="R401" s="27"/>
      <c r="S401" s="27"/>
      <c r="T401" s="27"/>
      <c r="U401" s="27"/>
      <c r="V401" s="27"/>
      <c r="AE401" s="27"/>
      <c r="AF401" s="27"/>
      <c r="AG401" s="27"/>
      <c r="AH401" s="27"/>
      <c r="AI401" s="28"/>
      <c r="AJ401" s="29"/>
      <c r="AK401" s="29"/>
      <c r="AL401" s="27"/>
      <c r="AM401" s="27"/>
      <c r="AN401" s="27"/>
      <c r="AO401" s="27"/>
      <c r="AP401" s="27"/>
      <c r="AY401" s="27"/>
      <c r="AZ401" s="27"/>
      <c r="BA401" s="27"/>
      <c r="BB401" s="27"/>
      <c r="BC401" s="28"/>
      <c r="BD401" s="29"/>
      <c r="BE401" s="29"/>
      <c r="BF401" s="27"/>
      <c r="BG401" s="27"/>
      <c r="BH401" s="27"/>
      <c r="BI401" s="27"/>
      <c r="BJ401" s="27"/>
      <c r="BK401" s="27"/>
      <c r="BL401" s="27"/>
      <c r="BM401" s="27"/>
    </row>
    <row r="402">
      <c r="I402" s="27"/>
      <c r="J402" s="27"/>
      <c r="K402" s="27"/>
      <c r="L402" s="27"/>
      <c r="M402" s="28"/>
      <c r="N402" s="29"/>
      <c r="O402" s="29"/>
      <c r="P402" s="29"/>
      <c r="Q402" s="27"/>
      <c r="R402" s="27"/>
      <c r="S402" s="27"/>
      <c r="T402" s="27"/>
      <c r="U402" s="27"/>
      <c r="V402" s="27"/>
      <c r="AE402" s="27"/>
      <c r="AF402" s="27"/>
      <c r="AG402" s="27"/>
      <c r="AH402" s="27"/>
      <c r="AI402" s="28"/>
      <c r="AJ402" s="29"/>
      <c r="AK402" s="29"/>
      <c r="AL402" s="27"/>
      <c r="AM402" s="27"/>
      <c r="AN402" s="27"/>
      <c r="AO402" s="27"/>
      <c r="AP402" s="27"/>
      <c r="AY402" s="27"/>
      <c r="AZ402" s="27"/>
      <c r="BA402" s="27"/>
      <c r="BB402" s="27"/>
      <c r="BC402" s="28"/>
      <c r="BD402" s="29"/>
      <c r="BE402" s="29"/>
      <c r="BF402" s="27"/>
      <c r="BG402" s="27"/>
      <c r="BH402" s="27"/>
      <c r="BI402" s="27"/>
      <c r="BJ402" s="27"/>
      <c r="BK402" s="27"/>
      <c r="BL402" s="27"/>
      <c r="BM402" s="27"/>
    </row>
    <row r="403">
      <c r="I403" s="27"/>
      <c r="J403" s="27"/>
      <c r="K403" s="27"/>
      <c r="L403" s="27"/>
      <c r="M403" s="28"/>
      <c r="N403" s="29"/>
      <c r="O403" s="29"/>
      <c r="P403" s="29"/>
      <c r="Q403" s="27"/>
      <c r="R403" s="27"/>
      <c r="S403" s="27"/>
      <c r="T403" s="27"/>
      <c r="U403" s="27"/>
      <c r="V403" s="27"/>
      <c r="AE403" s="27"/>
      <c r="AF403" s="27"/>
      <c r="AG403" s="27"/>
      <c r="AH403" s="27"/>
      <c r="AI403" s="28"/>
      <c r="AJ403" s="29"/>
      <c r="AK403" s="29"/>
      <c r="AL403" s="27"/>
      <c r="AM403" s="27"/>
      <c r="AN403" s="27"/>
      <c r="AO403" s="27"/>
      <c r="AP403" s="27"/>
      <c r="AY403" s="27"/>
      <c r="AZ403" s="27"/>
      <c r="BA403" s="27"/>
      <c r="BB403" s="27"/>
      <c r="BC403" s="28"/>
      <c r="BD403" s="29"/>
      <c r="BE403" s="29"/>
      <c r="BF403" s="27"/>
      <c r="BG403" s="27"/>
      <c r="BH403" s="27"/>
      <c r="BI403" s="27"/>
      <c r="BJ403" s="27"/>
      <c r="BK403" s="27"/>
      <c r="BL403" s="27"/>
      <c r="BM403" s="27"/>
    </row>
    <row r="404">
      <c r="I404" s="27"/>
      <c r="J404" s="27"/>
      <c r="K404" s="27"/>
      <c r="L404" s="27"/>
      <c r="M404" s="28"/>
      <c r="N404" s="29"/>
      <c r="O404" s="29"/>
      <c r="P404" s="29"/>
      <c r="Q404" s="27"/>
      <c r="R404" s="27"/>
      <c r="S404" s="27"/>
      <c r="T404" s="27"/>
      <c r="U404" s="27"/>
      <c r="V404" s="27"/>
      <c r="AE404" s="27"/>
      <c r="AF404" s="27"/>
      <c r="AG404" s="27"/>
      <c r="AH404" s="27"/>
      <c r="AI404" s="28"/>
      <c r="AJ404" s="29"/>
      <c r="AK404" s="29"/>
      <c r="AL404" s="27"/>
      <c r="AM404" s="27"/>
      <c r="AN404" s="27"/>
      <c r="AO404" s="27"/>
      <c r="AP404" s="27"/>
      <c r="AY404" s="27"/>
      <c r="AZ404" s="27"/>
      <c r="BA404" s="27"/>
      <c r="BB404" s="27"/>
      <c r="BC404" s="28"/>
      <c r="BD404" s="29"/>
      <c r="BE404" s="29"/>
      <c r="BF404" s="27"/>
      <c r="BG404" s="27"/>
      <c r="BH404" s="27"/>
      <c r="BI404" s="27"/>
      <c r="BJ404" s="27"/>
      <c r="BK404" s="27"/>
      <c r="BL404" s="27"/>
      <c r="BM404" s="27"/>
    </row>
    <row r="405">
      <c r="I405" s="27"/>
      <c r="J405" s="27"/>
      <c r="K405" s="27"/>
      <c r="L405" s="27"/>
      <c r="M405" s="28"/>
      <c r="N405" s="29"/>
      <c r="O405" s="29"/>
      <c r="P405" s="29"/>
      <c r="Q405" s="27"/>
      <c r="R405" s="27"/>
      <c r="S405" s="27"/>
      <c r="T405" s="27"/>
      <c r="U405" s="27"/>
      <c r="V405" s="27"/>
      <c r="AE405" s="27"/>
      <c r="AF405" s="27"/>
      <c r="AG405" s="27"/>
      <c r="AH405" s="27"/>
      <c r="AI405" s="28"/>
      <c r="AJ405" s="29"/>
      <c r="AK405" s="29"/>
      <c r="AL405" s="27"/>
      <c r="AM405" s="27"/>
      <c r="AN405" s="27"/>
      <c r="AO405" s="27"/>
      <c r="AP405" s="27"/>
      <c r="AY405" s="27"/>
      <c r="AZ405" s="27"/>
      <c r="BA405" s="27"/>
      <c r="BB405" s="27"/>
      <c r="BC405" s="28"/>
      <c r="BD405" s="29"/>
      <c r="BE405" s="29"/>
      <c r="BF405" s="27"/>
      <c r="BG405" s="27"/>
      <c r="BH405" s="27"/>
      <c r="BI405" s="27"/>
      <c r="BJ405" s="27"/>
      <c r="BK405" s="27"/>
      <c r="BL405" s="27"/>
      <c r="BM405" s="27"/>
    </row>
    <row r="406">
      <c r="I406" s="27"/>
      <c r="J406" s="27"/>
      <c r="K406" s="27"/>
      <c r="L406" s="27"/>
      <c r="M406" s="28"/>
      <c r="N406" s="29"/>
      <c r="O406" s="29"/>
      <c r="P406" s="29"/>
      <c r="Q406" s="27"/>
      <c r="R406" s="27"/>
      <c r="S406" s="27"/>
      <c r="T406" s="27"/>
      <c r="U406" s="27"/>
      <c r="V406" s="27"/>
      <c r="AE406" s="27"/>
      <c r="AF406" s="27"/>
      <c r="AG406" s="27"/>
      <c r="AH406" s="27"/>
      <c r="AI406" s="28"/>
      <c r="AJ406" s="29"/>
      <c r="AK406" s="29"/>
      <c r="AL406" s="27"/>
      <c r="AM406" s="27"/>
      <c r="AN406" s="27"/>
      <c r="AO406" s="27"/>
      <c r="AP406" s="27"/>
      <c r="AY406" s="27"/>
      <c r="AZ406" s="27"/>
      <c r="BA406" s="27"/>
      <c r="BB406" s="27"/>
      <c r="BC406" s="28"/>
      <c r="BD406" s="29"/>
      <c r="BE406" s="29"/>
      <c r="BF406" s="27"/>
      <c r="BG406" s="27"/>
      <c r="BH406" s="27"/>
      <c r="BI406" s="27"/>
      <c r="BJ406" s="27"/>
      <c r="BK406" s="27"/>
      <c r="BL406" s="27"/>
      <c r="BM406" s="27"/>
    </row>
    <row r="407">
      <c r="I407" s="27"/>
      <c r="J407" s="27"/>
      <c r="K407" s="27"/>
      <c r="L407" s="27"/>
      <c r="M407" s="28"/>
      <c r="N407" s="29"/>
      <c r="O407" s="29"/>
      <c r="P407" s="29"/>
      <c r="Q407" s="27"/>
      <c r="R407" s="27"/>
      <c r="S407" s="27"/>
      <c r="T407" s="27"/>
      <c r="U407" s="27"/>
      <c r="V407" s="27"/>
      <c r="AE407" s="27"/>
      <c r="AF407" s="27"/>
      <c r="AG407" s="27"/>
      <c r="AH407" s="27"/>
      <c r="AI407" s="28"/>
      <c r="AJ407" s="29"/>
      <c r="AK407" s="29"/>
      <c r="AL407" s="27"/>
      <c r="AM407" s="27"/>
      <c r="AN407" s="27"/>
      <c r="AO407" s="27"/>
      <c r="AP407" s="27"/>
      <c r="AY407" s="27"/>
      <c r="AZ407" s="27"/>
      <c r="BA407" s="27"/>
      <c r="BB407" s="27"/>
      <c r="BC407" s="28"/>
      <c r="BD407" s="29"/>
      <c r="BE407" s="29"/>
      <c r="BF407" s="27"/>
      <c r="BG407" s="27"/>
      <c r="BH407" s="27"/>
      <c r="BI407" s="27"/>
      <c r="BJ407" s="27"/>
      <c r="BK407" s="27"/>
      <c r="BL407" s="27"/>
      <c r="BM407" s="27"/>
    </row>
    <row r="408">
      <c r="I408" s="27"/>
      <c r="J408" s="27"/>
      <c r="K408" s="27"/>
      <c r="L408" s="27"/>
      <c r="M408" s="28"/>
      <c r="N408" s="29"/>
      <c r="O408" s="29"/>
      <c r="P408" s="29"/>
      <c r="Q408" s="27"/>
      <c r="R408" s="27"/>
      <c r="S408" s="27"/>
      <c r="T408" s="27"/>
      <c r="U408" s="27"/>
      <c r="V408" s="27"/>
      <c r="AE408" s="27"/>
      <c r="AF408" s="27"/>
      <c r="AG408" s="27"/>
      <c r="AH408" s="27"/>
      <c r="AI408" s="28"/>
      <c r="AJ408" s="29"/>
      <c r="AK408" s="29"/>
      <c r="AL408" s="27"/>
      <c r="AM408" s="27"/>
      <c r="AN408" s="27"/>
      <c r="AO408" s="27"/>
      <c r="AP408" s="27"/>
      <c r="AY408" s="27"/>
      <c r="AZ408" s="27"/>
      <c r="BA408" s="27"/>
      <c r="BB408" s="27"/>
      <c r="BC408" s="28"/>
      <c r="BD408" s="29"/>
      <c r="BE408" s="29"/>
      <c r="BF408" s="27"/>
      <c r="BG408" s="27"/>
      <c r="BH408" s="27"/>
      <c r="BI408" s="27"/>
      <c r="BJ408" s="27"/>
      <c r="BK408" s="27"/>
      <c r="BL408" s="27"/>
      <c r="BM408" s="27"/>
    </row>
    <row r="409">
      <c r="I409" s="27"/>
      <c r="J409" s="27"/>
      <c r="K409" s="27"/>
      <c r="L409" s="27"/>
      <c r="M409" s="28"/>
      <c r="N409" s="29"/>
      <c r="O409" s="29"/>
      <c r="P409" s="29"/>
      <c r="Q409" s="27"/>
      <c r="R409" s="27"/>
      <c r="S409" s="27"/>
      <c r="T409" s="27"/>
      <c r="U409" s="27"/>
      <c r="V409" s="27"/>
      <c r="AE409" s="27"/>
      <c r="AF409" s="27"/>
      <c r="AG409" s="27"/>
      <c r="AH409" s="27"/>
      <c r="AI409" s="28"/>
      <c r="AJ409" s="29"/>
      <c r="AK409" s="29"/>
      <c r="AL409" s="27"/>
      <c r="AM409" s="27"/>
      <c r="AN409" s="27"/>
      <c r="AO409" s="27"/>
      <c r="AP409" s="27"/>
      <c r="AY409" s="27"/>
      <c r="AZ409" s="27"/>
      <c r="BA409" s="27"/>
      <c r="BB409" s="27"/>
      <c r="BC409" s="28"/>
      <c r="BD409" s="29"/>
      <c r="BE409" s="29"/>
      <c r="BF409" s="27"/>
      <c r="BG409" s="27"/>
      <c r="BH409" s="27"/>
      <c r="BI409" s="27"/>
      <c r="BJ409" s="27"/>
      <c r="BK409" s="27"/>
      <c r="BL409" s="27"/>
      <c r="BM409" s="27"/>
    </row>
    <row r="410">
      <c r="I410" s="27"/>
      <c r="J410" s="27"/>
      <c r="K410" s="27"/>
      <c r="L410" s="27"/>
      <c r="M410" s="28"/>
      <c r="N410" s="29"/>
      <c r="O410" s="29"/>
      <c r="P410" s="29"/>
      <c r="Q410" s="27"/>
      <c r="R410" s="27"/>
      <c r="S410" s="27"/>
      <c r="T410" s="27"/>
      <c r="U410" s="27"/>
      <c r="V410" s="27"/>
      <c r="AE410" s="27"/>
      <c r="AF410" s="27"/>
      <c r="AG410" s="27"/>
      <c r="AH410" s="27"/>
      <c r="AI410" s="28"/>
      <c r="AJ410" s="29"/>
      <c r="AK410" s="29"/>
      <c r="AL410" s="27"/>
      <c r="AM410" s="27"/>
      <c r="AN410" s="27"/>
      <c r="AO410" s="27"/>
      <c r="AP410" s="27"/>
      <c r="AY410" s="27"/>
      <c r="AZ410" s="27"/>
      <c r="BA410" s="27"/>
      <c r="BB410" s="27"/>
      <c r="BC410" s="28"/>
      <c r="BD410" s="29"/>
      <c r="BE410" s="29"/>
      <c r="BF410" s="27"/>
      <c r="BG410" s="27"/>
      <c r="BH410" s="27"/>
      <c r="BI410" s="27"/>
      <c r="BJ410" s="27"/>
      <c r="BK410" s="27"/>
      <c r="BL410" s="27"/>
      <c r="BM410" s="27"/>
    </row>
    <row r="411">
      <c r="I411" s="27"/>
      <c r="J411" s="27"/>
      <c r="K411" s="27"/>
      <c r="L411" s="27"/>
      <c r="M411" s="28"/>
      <c r="N411" s="29"/>
      <c r="O411" s="29"/>
      <c r="P411" s="29"/>
      <c r="Q411" s="27"/>
      <c r="R411" s="27"/>
      <c r="S411" s="27"/>
      <c r="T411" s="27"/>
      <c r="U411" s="27"/>
      <c r="V411" s="27"/>
      <c r="AE411" s="27"/>
      <c r="AF411" s="27"/>
      <c r="AG411" s="27"/>
      <c r="AH411" s="27"/>
      <c r="AI411" s="28"/>
      <c r="AJ411" s="29"/>
      <c r="AK411" s="29"/>
      <c r="AL411" s="27"/>
      <c r="AM411" s="27"/>
      <c r="AN411" s="27"/>
      <c r="AO411" s="27"/>
      <c r="AP411" s="27"/>
      <c r="AY411" s="27"/>
      <c r="AZ411" s="27"/>
      <c r="BA411" s="27"/>
      <c r="BB411" s="27"/>
      <c r="BC411" s="28"/>
      <c r="BD411" s="29"/>
      <c r="BE411" s="29"/>
      <c r="BF411" s="27"/>
      <c r="BG411" s="27"/>
      <c r="BH411" s="27"/>
      <c r="BI411" s="27"/>
      <c r="BJ411" s="27"/>
      <c r="BK411" s="27"/>
      <c r="BL411" s="27"/>
      <c r="BM411" s="27"/>
    </row>
    <row r="412">
      <c r="I412" s="27"/>
      <c r="J412" s="27"/>
      <c r="K412" s="27"/>
      <c r="L412" s="27"/>
      <c r="M412" s="28"/>
      <c r="N412" s="29"/>
      <c r="O412" s="29"/>
      <c r="P412" s="29"/>
      <c r="Q412" s="27"/>
      <c r="R412" s="27"/>
      <c r="S412" s="27"/>
      <c r="T412" s="27"/>
      <c r="U412" s="27"/>
      <c r="V412" s="27"/>
      <c r="AE412" s="27"/>
      <c r="AF412" s="27"/>
      <c r="AG412" s="27"/>
      <c r="AH412" s="27"/>
      <c r="AI412" s="28"/>
      <c r="AJ412" s="29"/>
      <c r="AK412" s="29"/>
      <c r="AL412" s="27"/>
      <c r="AM412" s="27"/>
      <c r="AN412" s="27"/>
      <c r="AO412" s="27"/>
      <c r="AP412" s="27"/>
      <c r="AY412" s="27"/>
      <c r="AZ412" s="27"/>
      <c r="BA412" s="27"/>
      <c r="BB412" s="27"/>
      <c r="BC412" s="28"/>
      <c r="BD412" s="29"/>
      <c r="BE412" s="29"/>
      <c r="BF412" s="27"/>
      <c r="BG412" s="27"/>
      <c r="BH412" s="27"/>
      <c r="BI412" s="27"/>
      <c r="BJ412" s="27"/>
      <c r="BK412" s="27"/>
      <c r="BL412" s="27"/>
      <c r="BM412" s="27"/>
    </row>
    <row r="413">
      <c r="I413" s="27"/>
      <c r="J413" s="27"/>
      <c r="K413" s="27"/>
      <c r="L413" s="27"/>
      <c r="M413" s="28"/>
      <c r="N413" s="29"/>
      <c r="O413" s="29"/>
      <c r="P413" s="29"/>
      <c r="Q413" s="27"/>
      <c r="R413" s="27"/>
      <c r="S413" s="27"/>
      <c r="T413" s="27"/>
      <c r="U413" s="27"/>
      <c r="V413" s="27"/>
      <c r="AE413" s="27"/>
      <c r="AF413" s="27"/>
      <c r="AG413" s="27"/>
      <c r="AH413" s="27"/>
      <c r="AI413" s="28"/>
      <c r="AJ413" s="29"/>
      <c r="AK413" s="29"/>
      <c r="AL413" s="27"/>
      <c r="AM413" s="27"/>
      <c r="AN413" s="27"/>
      <c r="AO413" s="27"/>
      <c r="AP413" s="27"/>
      <c r="AY413" s="27"/>
      <c r="AZ413" s="27"/>
      <c r="BA413" s="27"/>
      <c r="BB413" s="27"/>
      <c r="BC413" s="28"/>
      <c r="BD413" s="29"/>
      <c r="BE413" s="29"/>
      <c r="BF413" s="27"/>
      <c r="BG413" s="27"/>
      <c r="BH413" s="27"/>
      <c r="BI413" s="27"/>
      <c r="BJ413" s="27"/>
      <c r="BK413" s="27"/>
      <c r="BL413" s="27"/>
      <c r="BM413" s="27"/>
    </row>
    <row r="414">
      <c r="I414" s="27"/>
      <c r="J414" s="27"/>
      <c r="K414" s="27"/>
      <c r="L414" s="27"/>
      <c r="M414" s="28"/>
      <c r="N414" s="29"/>
      <c r="O414" s="29"/>
      <c r="P414" s="29"/>
      <c r="Q414" s="27"/>
      <c r="R414" s="27"/>
      <c r="S414" s="27"/>
      <c r="T414" s="27"/>
      <c r="U414" s="27"/>
      <c r="V414" s="27"/>
      <c r="AE414" s="27"/>
      <c r="AF414" s="27"/>
      <c r="AG414" s="27"/>
      <c r="AH414" s="27"/>
      <c r="AI414" s="28"/>
      <c r="AJ414" s="29"/>
      <c r="AK414" s="29"/>
      <c r="AL414" s="27"/>
      <c r="AM414" s="27"/>
      <c r="AN414" s="27"/>
      <c r="AO414" s="27"/>
      <c r="AP414" s="27"/>
      <c r="AY414" s="27"/>
      <c r="AZ414" s="27"/>
      <c r="BA414" s="27"/>
      <c r="BB414" s="27"/>
      <c r="BC414" s="28"/>
      <c r="BD414" s="29"/>
      <c r="BE414" s="29"/>
      <c r="BF414" s="27"/>
      <c r="BG414" s="27"/>
      <c r="BH414" s="27"/>
      <c r="BI414" s="27"/>
      <c r="BJ414" s="27"/>
      <c r="BK414" s="27"/>
      <c r="BL414" s="27"/>
      <c r="BM414" s="27"/>
    </row>
    <row r="415">
      <c r="I415" s="27"/>
      <c r="J415" s="27"/>
      <c r="K415" s="27"/>
      <c r="L415" s="27"/>
      <c r="M415" s="28"/>
      <c r="N415" s="29"/>
      <c r="O415" s="29"/>
      <c r="P415" s="29"/>
      <c r="Q415" s="27"/>
      <c r="R415" s="27"/>
      <c r="S415" s="27"/>
      <c r="T415" s="27"/>
      <c r="U415" s="27"/>
      <c r="V415" s="27"/>
      <c r="AE415" s="27"/>
      <c r="AF415" s="27"/>
      <c r="AG415" s="27"/>
      <c r="AH415" s="27"/>
      <c r="AI415" s="28"/>
      <c r="AJ415" s="29"/>
      <c r="AK415" s="29"/>
      <c r="AL415" s="27"/>
      <c r="AM415" s="27"/>
      <c r="AN415" s="27"/>
      <c r="AO415" s="27"/>
      <c r="AP415" s="27"/>
      <c r="AY415" s="27"/>
      <c r="AZ415" s="27"/>
      <c r="BA415" s="27"/>
      <c r="BB415" s="27"/>
      <c r="BC415" s="28"/>
      <c r="BD415" s="29"/>
      <c r="BE415" s="29"/>
      <c r="BF415" s="27"/>
      <c r="BG415" s="27"/>
      <c r="BH415" s="27"/>
      <c r="BI415" s="27"/>
      <c r="BJ415" s="27"/>
      <c r="BK415" s="27"/>
      <c r="BL415" s="27"/>
      <c r="BM415" s="27"/>
    </row>
    <row r="416">
      <c r="I416" s="27"/>
      <c r="J416" s="27"/>
      <c r="K416" s="27"/>
      <c r="L416" s="27"/>
      <c r="M416" s="28"/>
      <c r="N416" s="29"/>
      <c r="O416" s="29"/>
      <c r="P416" s="29"/>
      <c r="Q416" s="27"/>
      <c r="R416" s="27"/>
      <c r="S416" s="27"/>
      <c r="T416" s="27"/>
      <c r="U416" s="27"/>
      <c r="V416" s="27"/>
      <c r="AE416" s="27"/>
      <c r="AF416" s="27"/>
      <c r="AG416" s="27"/>
      <c r="AH416" s="27"/>
      <c r="AI416" s="28"/>
      <c r="AJ416" s="29"/>
      <c r="AK416" s="29"/>
      <c r="AL416" s="27"/>
      <c r="AM416" s="27"/>
      <c r="AN416" s="27"/>
      <c r="AO416" s="27"/>
      <c r="AP416" s="27"/>
      <c r="AY416" s="27"/>
      <c r="AZ416" s="27"/>
      <c r="BA416" s="27"/>
      <c r="BB416" s="27"/>
      <c r="BC416" s="28"/>
      <c r="BD416" s="29"/>
      <c r="BE416" s="29"/>
      <c r="BF416" s="27"/>
      <c r="BG416" s="27"/>
      <c r="BH416" s="27"/>
      <c r="BI416" s="27"/>
      <c r="BJ416" s="27"/>
      <c r="BK416" s="27"/>
      <c r="BL416" s="27"/>
      <c r="BM416" s="27"/>
    </row>
    <row r="417">
      <c r="I417" s="27"/>
      <c r="J417" s="27"/>
      <c r="K417" s="27"/>
      <c r="L417" s="27"/>
      <c r="M417" s="28"/>
      <c r="N417" s="29"/>
      <c r="O417" s="29"/>
      <c r="P417" s="29"/>
      <c r="Q417" s="27"/>
      <c r="R417" s="27"/>
      <c r="S417" s="27"/>
      <c r="T417" s="27"/>
      <c r="U417" s="27"/>
      <c r="V417" s="27"/>
      <c r="AE417" s="27"/>
      <c r="AF417" s="27"/>
      <c r="AG417" s="27"/>
      <c r="AH417" s="27"/>
      <c r="AI417" s="28"/>
      <c r="AJ417" s="29"/>
      <c r="AK417" s="29"/>
      <c r="AL417" s="27"/>
      <c r="AM417" s="27"/>
      <c r="AN417" s="27"/>
      <c r="AO417" s="27"/>
      <c r="AP417" s="27"/>
      <c r="AY417" s="27"/>
      <c r="AZ417" s="27"/>
      <c r="BA417" s="27"/>
      <c r="BB417" s="27"/>
      <c r="BC417" s="28"/>
      <c r="BD417" s="29"/>
      <c r="BE417" s="29"/>
      <c r="BF417" s="27"/>
      <c r="BG417" s="27"/>
      <c r="BH417" s="27"/>
      <c r="BI417" s="27"/>
      <c r="BJ417" s="27"/>
      <c r="BK417" s="27"/>
      <c r="BL417" s="27"/>
      <c r="BM417" s="27"/>
    </row>
    <row r="418">
      <c r="I418" s="27"/>
      <c r="J418" s="27"/>
      <c r="K418" s="27"/>
      <c r="L418" s="27"/>
      <c r="M418" s="28"/>
      <c r="N418" s="29"/>
      <c r="O418" s="29"/>
      <c r="P418" s="29"/>
      <c r="Q418" s="27"/>
      <c r="R418" s="27"/>
      <c r="S418" s="27"/>
      <c r="T418" s="27"/>
      <c r="U418" s="27"/>
      <c r="V418" s="27"/>
      <c r="AE418" s="27"/>
      <c r="AF418" s="27"/>
      <c r="AG418" s="27"/>
      <c r="AH418" s="27"/>
      <c r="AI418" s="28"/>
      <c r="AJ418" s="29"/>
      <c r="AK418" s="29"/>
      <c r="AL418" s="27"/>
      <c r="AM418" s="27"/>
      <c r="AN418" s="27"/>
      <c r="AO418" s="27"/>
      <c r="AP418" s="27"/>
      <c r="AY418" s="27"/>
      <c r="AZ418" s="27"/>
      <c r="BA418" s="27"/>
      <c r="BB418" s="27"/>
      <c r="BC418" s="28"/>
      <c r="BD418" s="29"/>
      <c r="BE418" s="29"/>
      <c r="BF418" s="27"/>
      <c r="BG418" s="27"/>
      <c r="BH418" s="27"/>
      <c r="BI418" s="27"/>
      <c r="BJ418" s="27"/>
      <c r="BK418" s="27"/>
      <c r="BL418" s="27"/>
      <c r="BM418" s="27"/>
    </row>
    <row r="419">
      <c r="I419" s="27"/>
      <c r="J419" s="27"/>
      <c r="K419" s="27"/>
      <c r="L419" s="27"/>
      <c r="M419" s="28"/>
      <c r="N419" s="29"/>
      <c r="O419" s="29"/>
      <c r="P419" s="29"/>
      <c r="Q419" s="27"/>
      <c r="R419" s="27"/>
      <c r="S419" s="27"/>
      <c r="T419" s="27"/>
      <c r="U419" s="27"/>
      <c r="V419" s="27"/>
      <c r="AE419" s="27"/>
      <c r="AF419" s="27"/>
      <c r="AG419" s="27"/>
      <c r="AH419" s="27"/>
      <c r="AI419" s="28"/>
      <c r="AJ419" s="29"/>
      <c r="AK419" s="29"/>
      <c r="AL419" s="27"/>
      <c r="AM419" s="27"/>
      <c r="AN419" s="27"/>
      <c r="AO419" s="27"/>
      <c r="AP419" s="27"/>
      <c r="AY419" s="27"/>
      <c r="AZ419" s="27"/>
      <c r="BA419" s="27"/>
      <c r="BB419" s="27"/>
      <c r="BC419" s="28"/>
      <c r="BD419" s="29"/>
      <c r="BE419" s="29"/>
      <c r="BF419" s="27"/>
      <c r="BG419" s="27"/>
      <c r="BH419" s="27"/>
      <c r="BI419" s="27"/>
      <c r="BJ419" s="27"/>
      <c r="BK419" s="27"/>
      <c r="BL419" s="27"/>
      <c r="BM419" s="27"/>
    </row>
    <row r="420">
      <c r="I420" s="27"/>
      <c r="J420" s="27"/>
      <c r="K420" s="27"/>
      <c r="L420" s="27"/>
      <c r="M420" s="28"/>
      <c r="N420" s="29"/>
      <c r="O420" s="29"/>
      <c r="P420" s="29"/>
      <c r="Q420" s="27"/>
      <c r="R420" s="27"/>
      <c r="S420" s="27"/>
      <c r="T420" s="27"/>
      <c r="U420" s="27"/>
      <c r="V420" s="27"/>
      <c r="AE420" s="27"/>
      <c r="AF420" s="27"/>
      <c r="AG420" s="27"/>
      <c r="AH420" s="27"/>
      <c r="AI420" s="28"/>
      <c r="AJ420" s="29"/>
      <c r="AK420" s="29"/>
      <c r="AL420" s="27"/>
      <c r="AM420" s="27"/>
      <c r="AN420" s="27"/>
      <c r="AO420" s="27"/>
      <c r="AP420" s="27"/>
      <c r="AY420" s="27"/>
      <c r="AZ420" s="27"/>
      <c r="BA420" s="27"/>
      <c r="BB420" s="27"/>
      <c r="BC420" s="28"/>
      <c r="BD420" s="29"/>
      <c r="BE420" s="29"/>
      <c r="BF420" s="27"/>
      <c r="BG420" s="27"/>
      <c r="BH420" s="27"/>
      <c r="BI420" s="27"/>
      <c r="BJ420" s="27"/>
      <c r="BK420" s="27"/>
      <c r="BL420" s="27"/>
      <c r="BM420" s="27"/>
    </row>
    <row r="421">
      <c r="I421" s="27"/>
      <c r="J421" s="27"/>
      <c r="K421" s="27"/>
      <c r="L421" s="27"/>
      <c r="M421" s="28"/>
      <c r="N421" s="29"/>
      <c r="O421" s="29"/>
      <c r="P421" s="29"/>
      <c r="Q421" s="27"/>
      <c r="R421" s="27"/>
      <c r="S421" s="27"/>
      <c r="T421" s="27"/>
      <c r="U421" s="27"/>
      <c r="V421" s="27"/>
      <c r="AE421" s="27"/>
      <c r="AF421" s="27"/>
      <c r="AG421" s="27"/>
      <c r="AH421" s="27"/>
      <c r="AI421" s="28"/>
      <c r="AJ421" s="29"/>
      <c r="AK421" s="29"/>
      <c r="AL421" s="27"/>
      <c r="AM421" s="27"/>
      <c r="AN421" s="27"/>
      <c r="AO421" s="27"/>
      <c r="AP421" s="27"/>
      <c r="AY421" s="27"/>
      <c r="AZ421" s="27"/>
      <c r="BA421" s="27"/>
      <c r="BB421" s="27"/>
      <c r="BC421" s="28"/>
      <c r="BD421" s="29"/>
      <c r="BE421" s="29"/>
      <c r="BF421" s="27"/>
      <c r="BG421" s="27"/>
      <c r="BH421" s="27"/>
      <c r="BI421" s="27"/>
      <c r="BJ421" s="27"/>
      <c r="BK421" s="27"/>
      <c r="BL421" s="27"/>
      <c r="BM421" s="27"/>
    </row>
    <row r="422">
      <c r="I422" s="27"/>
      <c r="J422" s="27"/>
      <c r="K422" s="27"/>
      <c r="L422" s="27"/>
      <c r="M422" s="28"/>
      <c r="N422" s="29"/>
      <c r="O422" s="29"/>
      <c r="P422" s="29"/>
      <c r="Q422" s="27"/>
      <c r="R422" s="27"/>
      <c r="S422" s="27"/>
      <c r="T422" s="27"/>
      <c r="U422" s="27"/>
      <c r="V422" s="27"/>
      <c r="AE422" s="27"/>
      <c r="AF422" s="27"/>
      <c r="AG422" s="27"/>
      <c r="AH422" s="27"/>
      <c r="AI422" s="28"/>
      <c r="AJ422" s="29"/>
      <c r="AK422" s="29"/>
      <c r="AL422" s="27"/>
      <c r="AM422" s="27"/>
      <c r="AN422" s="27"/>
      <c r="AO422" s="27"/>
      <c r="AP422" s="27"/>
      <c r="AY422" s="27"/>
      <c r="AZ422" s="27"/>
      <c r="BA422" s="27"/>
      <c r="BB422" s="27"/>
      <c r="BC422" s="28"/>
      <c r="BD422" s="29"/>
      <c r="BE422" s="29"/>
      <c r="BF422" s="27"/>
      <c r="BG422" s="27"/>
      <c r="BH422" s="27"/>
      <c r="BI422" s="27"/>
      <c r="BJ422" s="27"/>
      <c r="BK422" s="27"/>
      <c r="BL422" s="27"/>
      <c r="BM422" s="27"/>
    </row>
    <row r="423">
      <c r="I423" s="27"/>
      <c r="J423" s="27"/>
      <c r="K423" s="27"/>
      <c r="L423" s="27"/>
      <c r="M423" s="28"/>
      <c r="N423" s="29"/>
      <c r="O423" s="29"/>
      <c r="P423" s="29"/>
      <c r="Q423" s="27"/>
      <c r="R423" s="27"/>
      <c r="S423" s="27"/>
      <c r="T423" s="27"/>
      <c r="U423" s="27"/>
      <c r="V423" s="27"/>
      <c r="AE423" s="27"/>
      <c r="AF423" s="27"/>
      <c r="AG423" s="27"/>
      <c r="AH423" s="27"/>
      <c r="AI423" s="28"/>
      <c r="AJ423" s="29"/>
      <c r="AK423" s="29"/>
      <c r="AL423" s="27"/>
      <c r="AM423" s="27"/>
      <c r="AN423" s="27"/>
      <c r="AO423" s="27"/>
      <c r="AP423" s="27"/>
      <c r="AY423" s="27"/>
      <c r="AZ423" s="27"/>
      <c r="BA423" s="27"/>
      <c r="BB423" s="27"/>
      <c r="BC423" s="28"/>
      <c r="BD423" s="29"/>
      <c r="BE423" s="29"/>
      <c r="BF423" s="27"/>
      <c r="BG423" s="27"/>
      <c r="BH423" s="27"/>
      <c r="BI423" s="27"/>
      <c r="BJ423" s="27"/>
      <c r="BK423" s="27"/>
      <c r="BL423" s="27"/>
      <c r="BM423" s="27"/>
    </row>
    <row r="424">
      <c r="I424" s="27"/>
      <c r="J424" s="27"/>
      <c r="K424" s="27"/>
      <c r="L424" s="27"/>
      <c r="M424" s="28"/>
      <c r="N424" s="29"/>
      <c r="O424" s="29"/>
      <c r="P424" s="29"/>
      <c r="Q424" s="27"/>
      <c r="R424" s="27"/>
      <c r="S424" s="27"/>
      <c r="T424" s="27"/>
      <c r="U424" s="27"/>
      <c r="V424" s="27"/>
      <c r="AE424" s="27"/>
      <c r="AF424" s="27"/>
      <c r="AG424" s="27"/>
      <c r="AH424" s="27"/>
      <c r="AI424" s="28"/>
      <c r="AJ424" s="29"/>
      <c r="AK424" s="29"/>
      <c r="AL424" s="27"/>
      <c r="AM424" s="27"/>
      <c r="AN424" s="27"/>
      <c r="AO424" s="27"/>
      <c r="AP424" s="27"/>
      <c r="AY424" s="27"/>
      <c r="AZ424" s="27"/>
      <c r="BA424" s="27"/>
      <c r="BB424" s="27"/>
      <c r="BC424" s="28"/>
      <c r="BD424" s="29"/>
      <c r="BE424" s="29"/>
      <c r="BF424" s="27"/>
      <c r="BG424" s="27"/>
      <c r="BH424" s="27"/>
      <c r="BI424" s="27"/>
      <c r="BJ424" s="27"/>
      <c r="BK424" s="27"/>
      <c r="BL424" s="27"/>
      <c r="BM424" s="27"/>
    </row>
    <row r="425">
      <c r="I425" s="27"/>
      <c r="J425" s="27"/>
      <c r="K425" s="27"/>
      <c r="L425" s="27"/>
      <c r="M425" s="28"/>
      <c r="N425" s="29"/>
      <c r="O425" s="29"/>
      <c r="P425" s="29"/>
      <c r="Q425" s="27"/>
      <c r="R425" s="27"/>
      <c r="S425" s="27"/>
      <c r="T425" s="27"/>
      <c r="U425" s="27"/>
      <c r="V425" s="27"/>
      <c r="AE425" s="27"/>
      <c r="AF425" s="27"/>
      <c r="AG425" s="27"/>
      <c r="AH425" s="27"/>
      <c r="AI425" s="28"/>
      <c r="AJ425" s="29"/>
      <c r="AK425" s="29"/>
      <c r="AL425" s="27"/>
      <c r="AM425" s="27"/>
      <c r="AN425" s="27"/>
      <c r="AO425" s="27"/>
      <c r="AP425" s="27"/>
      <c r="AY425" s="27"/>
      <c r="AZ425" s="27"/>
      <c r="BA425" s="27"/>
      <c r="BB425" s="27"/>
      <c r="BC425" s="28"/>
      <c r="BD425" s="29"/>
      <c r="BE425" s="29"/>
      <c r="BF425" s="27"/>
      <c r="BG425" s="27"/>
      <c r="BH425" s="27"/>
      <c r="BI425" s="27"/>
      <c r="BJ425" s="27"/>
      <c r="BK425" s="27"/>
      <c r="BL425" s="27"/>
      <c r="BM425" s="27"/>
    </row>
    <row r="426">
      <c r="I426" s="27"/>
      <c r="J426" s="27"/>
      <c r="K426" s="27"/>
      <c r="L426" s="27"/>
      <c r="M426" s="28"/>
      <c r="N426" s="29"/>
      <c r="O426" s="29"/>
      <c r="P426" s="29"/>
      <c r="Q426" s="27"/>
      <c r="R426" s="27"/>
      <c r="S426" s="27"/>
      <c r="T426" s="27"/>
      <c r="U426" s="27"/>
      <c r="V426" s="27"/>
      <c r="AE426" s="27"/>
      <c r="AF426" s="27"/>
      <c r="AG426" s="27"/>
      <c r="AH426" s="27"/>
      <c r="AI426" s="28"/>
      <c r="AJ426" s="29"/>
      <c r="AK426" s="29"/>
      <c r="AL426" s="27"/>
      <c r="AM426" s="27"/>
      <c r="AN426" s="27"/>
      <c r="AO426" s="27"/>
      <c r="AP426" s="27"/>
      <c r="AY426" s="27"/>
      <c r="AZ426" s="27"/>
      <c r="BA426" s="27"/>
      <c r="BB426" s="27"/>
      <c r="BC426" s="28"/>
      <c r="BD426" s="29"/>
      <c r="BE426" s="29"/>
      <c r="BF426" s="27"/>
      <c r="BG426" s="27"/>
      <c r="BH426" s="27"/>
      <c r="BI426" s="27"/>
      <c r="BJ426" s="27"/>
      <c r="BK426" s="27"/>
      <c r="BL426" s="27"/>
      <c r="BM426" s="27"/>
    </row>
    <row r="427">
      <c r="I427" s="27"/>
      <c r="J427" s="27"/>
      <c r="K427" s="27"/>
      <c r="L427" s="27"/>
      <c r="M427" s="28"/>
      <c r="N427" s="29"/>
      <c r="O427" s="29"/>
      <c r="P427" s="29"/>
      <c r="Q427" s="27"/>
      <c r="R427" s="27"/>
      <c r="S427" s="27"/>
      <c r="T427" s="27"/>
      <c r="U427" s="27"/>
      <c r="V427" s="27"/>
      <c r="AE427" s="27"/>
      <c r="AF427" s="27"/>
      <c r="AG427" s="27"/>
      <c r="AH427" s="27"/>
      <c r="AI427" s="28"/>
      <c r="AJ427" s="29"/>
      <c r="AK427" s="29"/>
      <c r="AL427" s="27"/>
      <c r="AM427" s="27"/>
      <c r="AN427" s="27"/>
      <c r="AO427" s="27"/>
      <c r="AP427" s="27"/>
      <c r="AY427" s="27"/>
      <c r="AZ427" s="27"/>
      <c r="BA427" s="27"/>
      <c r="BB427" s="27"/>
      <c r="BC427" s="28"/>
      <c r="BD427" s="29"/>
      <c r="BE427" s="29"/>
      <c r="BF427" s="27"/>
      <c r="BG427" s="27"/>
      <c r="BH427" s="27"/>
      <c r="BI427" s="27"/>
      <c r="BJ427" s="27"/>
      <c r="BK427" s="27"/>
      <c r="BL427" s="27"/>
      <c r="BM427" s="27"/>
    </row>
    <row r="428">
      <c r="I428" s="27"/>
      <c r="J428" s="27"/>
      <c r="K428" s="27"/>
      <c r="L428" s="27"/>
      <c r="M428" s="28"/>
      <c r="N428" s="29"/>
      <c r="O428" s="29"/>
      <c r="P428" s="29"/>
      <c r="Q428" s="27"/>
      <c r="R428" s="27"/>
      <c r="S428" s="27"/>
      <c r="T428" s="27"/>
      <c r="U428" s="27"/>
      <c r="V428" s="27"/>
      <c r="AE428" s="27"/>
      <c r="AF428" s="27"/>
      <c r="AG428" s="27"/>
      <c r="AH428" s="27"/>
      <c r="AI428" s="28"/>
      <c r="AJ428" s="29"/>
      <c r="AK428" s="29"/>
      <c r="AL428" s="27"/>
      <c r="AM428" s="27"/>
      <c r="AN428" s="27"/>
      <c r="AO428" s="27"/>
      <c r="AP428" s="27"/>
      <c r="AY428" s="27"/>
      <c r="AZ428" s="27"/>
      <c r="BA428" s="27"/>
      <c r="BB428" s="27"/>
      <c r="BC428" s="28"/>
      <c r="BD428" s="29"/>
      <c r="BE428" s="29"/>
      <c r="BF428" s="27"/>
      <c r="BG428" s="27"/>
      <c r="BH428" s="27"/>
      <c r="BI428" s="27"/>
      <c r="BJ428" s="27"/>
      <c r="BK428" s="27"/>
      <c r="BL428" s="27"/>
      <c r="BM428" s="27"/>
    </row>
    <row r="429">
      <c r="I429" s="27"/>
      <c r="J429" s="27"/>
      <c r="K429" s="27"/>
      <c r="L429" s="27"/>
      <c r="M429" s="28"/>
      <c r="N429" s="29"/>
      <c r="O429" s="29"/>
      <c r="P429" s="29"/>
      <c r="Q429" s="27"/>
      <c r="R429" s="27"/>
      <c r="S429" s="27"/>
      <c r="T429" s="27"/>
      <c r="U429" s="27"/>
      <c r="V429" s="27"/>
      <c r="AE429" s="27"/>
      <c r="AF429" s="27"/>
      <c r="AG429" s="27"/>
      <c r="AH429" s="27"/>
      <c r="AI429" s="28"/>
      <c r="AJ429" s="29"/>
      <c r="AK429" s="29"/>
      <c r="AL429" s="27"/>
      <c r="AM429" s="27"/>
      <c r="AN429" s="27"/>
      <c r="AO429" s="27"/>
      <c r="AP429" s="27"/>
      <c r="AY429" s="27"/>
      <c r="AZ429" s="27"/>
      <c r="BA429" s="27"/>
      <c r="BB429" s="27"/>
      <c r="BC429" s="28"/>
      <c r="BD429" s="29"/>
      <c r="BE429" s="29"/>
      <c r="BF429" s="27"/>
      <c r="BG429" s="27"/>
      <c r="BH429" s="27"/>
      <c r="BI429" s="27"/>
      <c r="BJ429" s="27"/>
      <c r="BK429" s="27"/>
      <c r="BL429" s="27"/>
      <c r="BM429" s="27"/>
    </row>
    <row r="430">
      <c r="I430" s="27"/>
      <c r="J430" s="27"/>
      <c r="K430" s="27"/>
      <c r="L430" s="27"/>
      <c r="M430" s="28"/>
      <c r="N430" s="29"/>
      <c r="O430" s="29"/>
      <c r="P430" s="29"/>
      <c r="Q430" s="27"/>
      <c r="R430" s="27"/>
      <c r="S430" s="27"/>
      <c r="T430" s="27"/>
      <c r="U430" s="27"/>
      <c r="V430" s="27"/>
      <c r="AE430" s="27"/>
      <c r="AF430" s="27"/>
      <c r="AG430" s="27"/>
      <c r="AH430" s="27"/>
      <c r="AI430" s="28"/>
      <c r="AJ430" s="29"/>
      <c r="AK430" s="29"/>
      <c r="AL430" s="27"/>
      <c r="AM430" s="27"/>
      <c r="AN430" s="27"/>
      <c r="AO430" s="27"/>
      <c r="AP430" s="27"/>
      <c r="AY430" s="27"/>
      <c r="AZ430" s="27"/>
      <c r="BA430" s="27"/>
      <c r="BB430" s="27"/>
      <c r="BC430" s="28"/>
      <c r="BD430" s="29"/>
      <c r="BE430" s="29"/>
      <c r="BF430" s="27"/>
      <c r="BG430" s="27"/>
      <c r="BH430" s="27"/>
      <c r="BI430" s="27"/>
      <c r="BJ430" s="27"/>
      <c r="BK430" s="27"/>
      <c r="BL430" s="27"/>
      <c r="BM430" s="27"/>
    </row>
    <row r="431">
      <c r="I431" s="27"/>
      <c r="J431" s="27"/>
      <c r="K431" s="27"/>
      <c r="L431" s="27"/>
      <c r="M431" s="28"/>
      <c r="N431" s="29"/>
      <c r="O431" s="29"/>
      <c r="P431" s="29"/>
      <c r="Q431" s="27"/>
      <c r="R431" s="27"/>
      <c r="S431" s="27"/>
      <c r="T431" s="27"/>
      <c r="U431" s="27"/>
      <c r="V431" s="27"/>
      <c r="AE431" s="27"/>
      <c r="AF431" s="27"/>
      <c r="AG431" s="27"/>
      <c r="AH431" s="27"/>
      <c r="AI431" s="28"/>
      <c r="AJ431" s="29"/>
      <c r="AK431" s="29"/>
      <c r="AL431" s="27"/>
      <c r="AM431" s="27"/>
      <c r="AN431" s="27"/>
      <c r="AO431" s="27"/>
      <c r="AP431" s="27"/>
      <c r="AY431" s="27"/>
      <c r="AZ431" s="27"/>
      <c r="BA431" s="27"/>
      <c r="BB431" s="27"/>
      <c r="BC431" s="28"/>
      <c r="BD431" s="29"/>
      <c r="BE431" s="29"/>
      <c r="BF431" s="27"/>
      <c r="BG431" s="27"/>
      <c r="BH431" s="27"/>
      <c r="BI431" s="27"/>
      <c r="BJ431" s="27"/>
      <c r="BK431" s="27"/>
      <c r="BL431" s="27"/>
      <c r="BM431" s="27"/>
    </row>
    <row r="432">
      <c r="I432" s="27"/>
      <c r="J432" s="27"/>
      <c r="K432" s="27"/>
      <c r="L432" s="27"/>
      <c r="M432" s="28"/>
      <c r="N432" s="29"/>
      <c r="O432" s="29"/>
      <c r="P432" s="29"/>
      <c r="Q432" s="27"/>
      <c r="R432" s="27"/>
      <c r="S432" s="27"/>
      <c r="T432" s="27"/>
      <c r="U432" s="27"/>
      <c r="V432" s="27"/>
      <c r="AE432" s="27"/>
      <c r="AF432" s="27"/>
      <c r="AG432" s="27"/>
      <c r="AH432" s="27"/>
      <c r="AI432" s="28"/>
      <c r="AJ432" s="29"/>
      <c r="AK432" s="29"/>
      <c r="AL432" s="27"/>
      <c r="AM432" s="27"/>
      <c r="AN432" s="27"/>
      <c r="AO432" s="27"/>
      <c r="AP432" s="27"/>
      <c r="AY432" s="27"/>
      <c r="AZ432" s="27"/>
      <c r="BA432" s="27"/>
      <c r="BB432" s="27"/>
      <c r="BC432" s="28"/>
      <c r="BD432" s="29"/>
      <c r="BE432" s="29"/>
      <c r="BF432" s="27"/>
      <c r="BG432" s="27"/>
      <c r="BH432" s="27"/>
      <c r="BI432" s="27"/>
      <c r="BJ432" s="27"/>
      <c r="BK432" s="27"/>
      <c r="BL432" s="27"/>
      <c r="BM432" s="27"/>
    </row>
    <row r="433">
      <c r="I433" s="27"/>
      <c r="J433" s="27"/>
      <c r="K433" s="27"/>
      <c r="L433" s="27"/>
      <c r="M433" s="28"/>
      <c r="N433" s="29"/>
      <c r="O433" s="29"/>
      <c r="P433" s="29"/>
      <c r="Q433" s="27"/>
      <c r="R433" s="27"/>
      <c r="S433" s="27"/>
      <c r="T433" s="27"/>
      <c r="U433" s="27"/>
      <c r="V433" s="27"/>
      <c r="AE433" s="27"/>
      <c r="AF433" s="27"/>
      <c r="AG433" s="27"/>
      <c r="AH433" s="27"/>
      <c r="AI433" s="28"/>
      <c r="AJ433" s="29"/>
      <c r="AK433" s="29"/>
      <c r="AL433" s="27"/>
      <c r="AM433" s="27"/>
      <c r="AN433" s="27"/>
      <c r="AO433" s="27"/>
      <c r="AP433" s="27"/>
      <c r="AY433" s="27"/>
      <c r="AZ433" s="27"/>
      <c r="BA433" s="27"/>
      <c r="BB433" s="27"/>
      <c r="BC433" s="28"/>
      <c r="BD433" s="29"/>
      <c r="BE433" s="29"/>
      <c r="BF433" s="27"/>
      <c r="BG433" s="27"/>
      <c r="BH433" s="27"/>
      <c r="BI433" s="27"/>
      <c r="BJ433" s="27"/>
      <c r="BK433" s="27"/>
      <c r="BL433" s="27"/>
      <c r="BM433" s="27"/>
    </row>
    <row r="434">
      <c r="I434" s="27"/>
      <c r="J434" s="27"/>
      <c r="K434" s="27"/>
      <c r="L434" s="27"/>
      <c r="M434" s="28"/>
      <c r="N434" s="29"/>
      <c r="O434" s="29"/>
      <c r="P434" s="29"/>
      <c r="Q434" s="27"/>
      <c r="R434" s="27"/>
      <c r="S434" s="27"/>
      <c r="T434" s="27"/>
      <c r="U434" s="27"/>
      <c r="V434" s="27"/>
      <c r="AE434" s="27"/>
      <c r="AF434" s="27"/>
      <c r="AG434" s="27"/>
      <c r="AH434" s="27"/>
      <c r="AI434" s="28"/>
      <c r="AJ434" s="29"/>
      <c r="AK434" s="29"/>
      <c r="AL434" s="27"/>
      <c r="AM434" s="27"/>
      <c r="AN434" s="27"/>
      <c r="AO434" s="27"/>
      <c r="AP434" s="27"/>
      <c r="AY434" s="27"/>
      <c r="AZ434" s="27"/>
      <c r="BA434" s="27"/>
      <c r="BB434" s="27"/>
      <c r="BC434" s="28"/>
      <c r="BD434" s="29"/>
      <c r="BE434" s="29"/>
      <c r="BF434" s="27"/>
      <c r="BG434" s="27"/>
      <c r="BH434" s="27"/>
      <c r="BI434" s="27"/>
      <c r="BJ434" s="27"/>
      <c r="BK434" s="27"/>
      <c r="BL434" s="27"/>
      <c r="BM434" s="27"/>
    </row>
    <row r="435">
      <c r="I435" s="27"/>
      <c r="J435" s="27"/>
      <c r="K435" s="27"/>
      <c r="L435" s="27"/>
      <c r="M435" s="28"/>
      <c r="N435" s="29"/>
      <c r="O435" s="29"/>
      <c r="P435" s="29"/>
      <c r="Q435" s="27"/>
      <c r="R435" s="27"/>
      <c r="S435" s="27"/>
      <c r="T435" s="27"/>
      <c r="U435" s="27"/>
      <c r="V435" s="27"/>
      <c r="AE435" s="27"/>
      <c r="AF435" s="27"/>
      <c r="AG435" s="27"/>
      <c r="AH435" s="27"/>
      <c r="AI435" s="28"/>
      <c r="AJ435" s="29"/>
      <c r="AK435" s="29"/>
      <c r="AL435" s="27"/>
      <c r="AM435" s="27"/>
      <c r="AN435" s="27"/>
      <c r="AO435" s="27"/>
      <c r="AP435" s="27"/>
      <c r="AY435" s="27"/>
      <c r="AZ435" s="27"/>
      <c r="BA435" s="27"/>
      <c r="BB435" s="27"/>
      <c r="BC435" s="28"/>
      <c r="BD435" s="29"/>
      <c r="BE435" s="29"/>
      <c r="BF435" s="27"/>
      <c r="BG435" s="27"/>
      <c r="BH435" s="27"/>
      <c r="BI435" s="27"/>
      <c r="BJ435" s="27"/>
      <c r="BK435" s="27"/>
      <c r="BL435" s="27"/>
      <c r="BM435" s="27"/>
    </row>
    <row r="436">
      <c r="I436" s="27"/>
      <c r="J436" s="27"/>
      <c r="K436" s="27"/>
      <c r="L436" s="27"/>
      <c r="M436" s="28"/>
      <c r="N436" s="29"/>
      <c r="O436" s="29"/>
      <c r="P436" s="29"/>
      <c r="Q436" s="27"/>
      <c r="R436" s="27"/>
      <c r="S436" s="27"/>
      <c r="T436" s="27"/>
      <c r="U436" s="27"/>
      <c r="V436" s="27"/>
      <c r="AE436" s="27"/>
      <c r="AF436" s="27"/>
      <c r="AG436" s="27"/>
      <c r="AH436" s="27"/>
      <c r="AI436" s="28"/>
      <c r="AJ436" s="29"/>
      <c r="AK436" s="29"/>
      <c r="AL436" s="27"/>
      <c r="AM436" s="27"/>
      <c r="AN436" s="27"/>
      <c r="AO436" s="27"/>
      <c r="AP436" s="27"/>
      <c r="AY436" s="27"/>
      <c r="AZ436" s="27"/>
      <c r="BA436" s="27"/>
      <c r="BB436" s="27"/>
      <c r="BC436" s="28"/>
      <c r="BD436" s="29"/>
      <c r="BE436" s="29"/>
      <c r="BF436" s="27"/>
      <c r="BG436" s="27"/>
      <c r="BH436" s="27"/>
      <c r="BI436" s="27"/>
      <c r="BJ436" s="27"/>
      <c r="BK436" s="27"/>
      <c r="BL436" s="27"/>
      <c r="BM436" s="27"/>
    </row>
    <row r="437">
      <c r="I437" s="27"/>
      <c r="J437" s="27"/>
      <c r="K437" s="27"/>
      <c r="L437" s="27"/>
      <c r="M437" s="28"/>
      <c r="N437" s="29"/>
      <c r="O437" s="29"/>
      <c r="P437" s="29"/>
      <c r="Q437" s="27"/>
      <c r="R437" s="27"/>
      <c r="S437" s="27"/>
      <c r="T437" s="27"/>
      <c r="U437" s="27"/>
      <c r="V437" s="27"/>
      <c r="AE437" s="27"/>
      <c r="AF437" s="27"/>
      <c r="AG437" s="27"/>
      <c r="AH437" s="27"/>
      <c r="AI437" s="28"/>
      <c r="AJ437" s="29"/>
      <c r="AK437" s="29"/>
      <c r="AL437" s="27"/>
      <c r="AM437" s="27"/>
      <c r="AN437" s="27"/>
      <c r="AO437" s="27"/>
      <c r="AP437" s="27"/>
      <c r="AY437" s="27"/>
      <c r="AZ437" s="27"/>
      <c r="BA437" s="27"/>
      <c r="BB437" s="27"/>
      <c r="BC437" s="28"/>
      <c r="BD437" s="29"/>
      <c r="BE437" s="29"/>
      <c r="BF437" s="27"/>
      <c r="BG437" s="27"/>
      <c r="BH437" s="27"/>
      <c r="BI437" s="27"/>
      <c r="BJ437" s="27"/>
      <c r="BK437" s="27"/>
      <c r="BL437" s="27"/>
      <c r="BM437" s="27"/>
    </row>
    <row r="438">
      <c r="I438" s="27"/>
      <c r="J438" s="27"/>
      <c r="K438" s="27"/>
      <c r="L438" s="27"/>
      <c r="M438" s="28"/>
      <c r="N438" s="29"/>
      <c r="O438" s="29"/>
      <c r="P438" s="29"/>
      <c r="Q438" s="27"/>
      <c r="R438" s="27"/>
      <c r="S438" s="27"/>
      <c r="T438" s="27"/>
      <c r="U438" s="27"/>
      <c r="V438" s="27"/>
      <c r="AE438" s="27"/>
      <c r="AF438" s="27"/>
      <c r="AG438" s="27"/>
      <c r="AH438" s="27"/>
      <c r="AI438" s="28"/>
      <c r="AJ438" s="29"/>
      <c r="AK438" s="29"/>
      <c r="AL438" s="27"/>
      <c r="AM438" s="27"/>
      <c r="AN438" s="27"/>
      <c r="AO438" s="27"/>
      <c r="AP438" s="27"/>
      <c r="AY438" s="27"/>
      <c r="AZ438" s="27"/>
      <c r="BA438" s="27"/>
      <c r="BB438" s="27"/>
      <c r="BC438" s="28"/>
      <c r="BD438" s="29"/>
      <c r="BE438" s="29"/>
      <c r="BF438" s="27"/>
      <c r="BG438" s="27"/>
      <c r="BH438" s="27"/>
      <c r="BI438" s="27"/>
      <c r="BJ438" s="27"/>
      <c r="BK438" s="27"/>
      <c r="BL438" s="27"/>
      <c r="BM438" s="27"/>
    </row>
    <row r="439">
      <c r="I439" s="27"/>
      <c r="J439" s="27"/>
      <c r="K439" s="27"/>
      <c r="L439" s="27"/>
      <c r="M439" s="28"/>
      <c r="N439" s="29"/>
      <c r="O439" s="29"/>
      <c r="P439" s="29"/>
      <c r="Q439" s="27"/>
      <c r="R439" s="27"/>
      <c r="S439" s="27"/>
      <c r="T439" s="27"/>
      <c r="U439" s="27"/>
      <c r="V439" s="27"/>
      <c r="AE439" s="27"/>
      <c r="AF439" s="27"/>
      <c r="AG439" s="27"/>
      <c r="AH439" s="27"/>
      <c r="AI439" s="28"/>
      <c r="AJ439" s="29"/>
      <c r="AK439" s="29"/>
      <c r="AL439" s="27"/>
      <c r="AM439" s="27"/>
      <c r="AN439" s="27"/>
      <c r="AO439" s="27"/>
      <c r="AP439" s="27"/>
      <c r="AY439" s="27"/>
      <c r="AZ439" s="27"/>
      <c r="BA439" s="27"/>
      <c r="BB439" s="27"/>
      <c r="BC439" s="28"/>
      <c r="BD439" s="29"/>
      <c r="BE439" s="29"/>
      <c r="BF439" s="27"/>
      <c r="BG439" s="27"/>
      <c r="BH439" s="27"/>
      <c r="BI439" s="27"/>
      <c r="BJ439" s="27"/>
      <c r="BK439" s="27"/>
      <c r="BL439" s="27"/>
      <c r="BM439" s="27"/>
    </row>
    <row r="440">
      <c r="I440" s="27"/>
      <c r="J440" s="27"/>
      <c r="K440" s="27"/>
      <c r="L440" s="27"/>
      <c r="M440" s="28"/>
      <c r="N440" s="29"/>
      <c r="O440" s="29"/>
      <c r="P440" s="29"/>
      <c r="Q440" s="27"/>
      <c r="R440" s="27"/>
      <c r="S440" s="27"/>
      <c r="T440" s="27"/>
      <c r="U440" s="27"/>
      <c r="V440" s="27"/>
      <c r="AE440" s="27"/>
      <c r="AF440" s="27"/>
      <c r="AG440" s="27"/>
      <c r="AH440" s="27"/>
      <c r="AI440" s="28"/>
      <c r="AJ440" s="29"/>
      <c r="AK440" s="29"/>
      <c r="AL440" s="27"/>
      <c r="AM440" s="27"/>
      <c r="AN440" s="27"/>
      <c r="AO440" s="27"/>
      <c r="AP440" s="27"/>
      <c r="AY440" s="27"/>
      <c r="AZ440" s="27"/>
      <c r="BA440" s="27"/>
      <c r="BB440" s="27"/>
      <c r="BC440" s="28"/>
      <c r="BD440" s="29"/>
      <c r="BE440" s="29"/>
      <c r="BF440" s="27"/>
      <c r="BG440" s="27"/>
      <c r="BH440" s="27"/>
      <c r="BI440" s="27"/>
      <c r="BJ440" s="27"/>
      <c r="BK440" s="27"/>
      <c r="BL440" s="27"/>
      <c r="BM440" s="27"/>
    </row>
    <row r="441">
      <c r="I441" s="27"/>
      <c r="J441" s="27"/>
      <c r="K441" s="27"/>
      <c r="L441" s="27"/>
      <c r="M441" s="28"/>
      <c r="N441" s="29"/>
      <c r="O441" s="29"/>
      <c r="P441" s="29"/>
      <c r="Q441" s="27"/>
      <c r="R441" s="27"/>
      <c r="S441" s="27"/>
      <c r="T441" s="27"/>
      <c r="U441" s="27"/>
      <c r="V441" s="27"/>
      <c r="AE441" s="27"/>
      <c r="AF441" s="27"/>
      <c r="AG441" s="27"/>
      <c r="AH441" s="27"/>
      <c r="AI441" s="28"/>
      <c r="AJ441" s="29"/>
      <c r="AK441" s="29"/>
      <c r="AL441" s="27"/>
      <c r="AM441" s="27"/>
      <c r="AN441" s="27"/>
      <c r="AO441" s="27"/>
      <c r="AP441" s="27"/>
      <c r="AY441" s="27"/>
      <c r="AZ441" s="27"/>
      <c r="BA441" s="27"/>
      <c r="BB441" s="27"/>
      <c r="BC441" s="28"/>
      <c r="BD441" s="29"/>
      <c r="BE441" s="29"/>
      <c r="BF441" s="27"/>
      <c r="BG441" s="27"/>
      <c r="BH441" s="27"/>
      <c r="BI441" s="27"/>
      <c r="BJ441" s="27"/>
      <c r="BK441" s="27"/>
      <c r="BL441" s="27"/>
      <c r="BM441" s="27"/>
    </row>
    <row r="442">
      <c r="I442" s="27"/>
      <c r="J442" s="27"/>
      <c r="K442" s="27"/>
      <c r="L442" s="27"/>
      <c r="M442" s="28"/>
      <c r="N442" s="29"/>
      <c r="O442" s="29"/>
      <c r="P442" s="29"/>
      <c r="Q442" s="27"/>
      <c r="R442" s="27"/>
      <c r="S442" s="27"/>
      <c r="T442" s="27"/>
      <c r="U442" s="27"/>
      <c r="V442" s="27"/>
      <c r="AE442" s="27"/>
      <c r="AF442" s="27"/>
      <c r="AG442" s="27"/>
      <c r="AH442" s="27"/>
      <c r="AI442" s="28"/>
      <c r="AJ442" s="29"/>
      <c r="AK442" s="29"/>
      <c r="AL442" s="27"/>
      <c r="AM442" s="27"/>
      <c r="AN442" s="27"/>
      <c r="AO442" s="27"/>
      <c r="AP442" s="27"/>
      <c r="AY442" s="27"/>
      <c r="AZ442" s="27"/>
      <c r="BA442" s="27"/>
      <c r="BB442" s="27"/>
      <c r="BC442" s="28"/>
      <c r="BD442" s="29"/>
      <c r="BE442" s="29"/>
      <c r="BF442" s="27"/>
      <c r="BG442" s="27"/>
      <c r="BH442" s="27"/>
      <c r="BI442" s="27"/>
      <c r="BJ442" s="27"/>
      <c r="BK442" s="27"/>
      <c r="BL442" s="27"/>
      <c r="BM442" s="27"/>
    </row>
    <row r="443">
      <c r="I443" s="27"/>
      <c r="J443" s="27"/>
      <c r="K443" s="27"/>
      <c r="L443" s="27"/>
      <c r="M443" s="28"/>
      <c r="N443" s="29"/>
      <c r="O443" s="29"/>
      <c r="P443" s="29"/>
      <c r="Q443" s="27"/>
      <c r="R443" s="27"/>
      <c r="S443" s="27"/>
      <c r="T443" s="27"/>
      <c r="U443" s="27"/>
      <c r="V443" s="27"/>
      <c r="AE443" s="27"/>
      <c r="AF443" s="27"/>
      <c r="AG443" s="27"/>
      <c r="AH443" s="27"/>
      <c r="AI443" s="28"/>
      <c r="AJ443" s="29"/>
      <c r="AK443" s="29"/>
      <c r="AL443" s="27"/>
      <c r="AM443" s="27"/>
      <c r="AN443" s="27"/>
      <c r="AO443" s="27"/>
      <c r="AP443" s="27"/>
      <c r="AY443" s="27"/>
      <c r="AZ443" s="27"/>
      <c r="BA443" s="27"/>
      <c r="BB443" s="27"/>
      <c r="BC443" s="28"/>
      <c r="BD443" s="29"/>
      <c r="BE443" s="29"/>
      <c r="BF443" s="27"/>
      <c r="BG443" s="27"/>
      <c r="BH443" s="27"/>
      <c r="BI443" s="27"/>
      <c r="BJ443" s="27"/>
      <c r="BK443" s="27"/>
      <c r="BL443" s="27"/>
      <c r="BM443" s="27"/>
    </row>
    <row r="444">
      <c r="I444" s="27"/>
      <c r="J444" s="27"/>
      <c r="K444" s="27"/>
      <c r="L444" s="27"/>
      <c r="M444" s="28"/>
      <c r="N444" s="29"/>
      <c r="O444" s="29"/>
      <c r="P444" s="29"/>
      <c r="Q444" s="27"/>
      <c r="R444" s="27"/>
      <c r="S444" s="27"/>
      <c r="T444" s="27"/>
      <c r="U444" s="27"/>
      <c r="V444" s="27"/>
      <c r="AE444" s="27"/>
      <c r="AF444" s="27"/>
      <c r="AG444" s="27"/>
      <c r="AH444" s="27"/>
      <c r="AI444" s="28"/>
      <c r="AJ444" s="29"/>
      <c r="AK444" s="29"/>
      <c r="AL444" s="27"/>
      <c r="AM444" s="27"/>
      <c r="AN444" s="27"/>
      <c r="AO444" s="27"/>
      <c r="AP444" s="27"/>
      <c r="AY444" s="27"/>
      <c r="AZ444" s="27"/>
      <c r="BA444" s="27"/>
      <c r="BB444" s="27"/>
      <c r="BC444" s="28"/>
      <c r="BD444" s="29"/>
      <c r="BE444" s="29"/>
      <c r="BF444" s="27"/>
      <c r="BG444" s="27"/>
      <c r="BH444" s="27"/>
      <c r="BI444" s="27"/>
      <c r="BJ444" s="27"/>
      <c r="BK444" s="27"/>
      <c r="BL444" s="27"/>
      <c r="BM444" s="27"/>
    </row>
    <row r="445">
      <c r="I445" s="27"/>
      <c r="J445" s="27"/>
      <c r="K445" s="27"/>
      <c r="L445" s="27"/>
      <c r="M445" s="28"/>
      <c r="N445" s="29"/>
      <c r="O445" s="29"/>
      <c r="P445" s="29"/>
      <c r="Q445" s="27"/>
      <c r="R445" s="27"/>
      <c r="S445" s="27"/>
      <c r="T445" s="27"/>
      <c r="U445" s="27"/>
      <c r="V445" s="27"/>
      <c r="AE445" s="27"/>
      <c r="AF445" s="27"/>
      <c r="AG445" s="27"/>
      <c r="AH445" s="27"/>
      <c r="AI445" s="28"/>
      <c r="AJ445" s="29"/>
      <c r="AK445" s="29"/>
      <c r="AL445" s="27"/>
      <c r="AM445" s="27"/>
      <c r="AN445" s="27"/>
      <c r="AO445" s="27"/>
      <c r="AP445" s="27"/>
      <c r="AY445" s="27"/>
      <c r="AZ445" s="27"/>
      <c r="BA445" s="27"/>
      <c r="BB445" s="27"/>
      <c r="BC445" s="28"/>
      <c r="BD445" s="29"/>
      <c r="BE445" s="29"/>
      <c r="BF445" s="27"/>
      <c r="BG445" s="27"/>
      <c r="BH445" s="27"/>
      <c r="BI445" s="27"/>
      <c r="BJ445" s="27"/>
      <c r="BK445" s="27"/>
      <c r="BL445" s="27"/>
      <c r="BM445" s="27"/>
    </row>
    <row r="446">
      <c r="I446" s="27"/>
      <c r="J446" s="27"/>
      <c r="K446" s="27"/>
      <c r="L446" s="27"/>
      <c r="M446" s="28"/>
      <c r="N446" s="29"/>
      <c r="O446" s="29"/>
      <c r="P446" s="29"/>
      <c r="Q446" s="27"/>
      <c r="R446" s="27"/>
      <c r="S446" s="27"/>
      <c r="T446" s="27"/>
      <c r="U446" s="27"/>
      <c r="V446" s="27"/>
      <c r="AE446" s="27"/>
      <c r="AF446" s="27"/>
      <c r="AG446" s="27"/>
      <c r="AH446" s="27"/>
      <c r="AI446" s="28"/>
      <c r="AJ446" s="29"/>
      <c r="AK446" s="29"/>
      <c r="AL446" s="27"/>
      <c r="AM446" s="27"/>
      <c r="AN446" s="27"/>
      <c r="AO446" s="27"/>
      <c r="AP446" s="27"/>
      <c r="AY446" s="27"/>
      <c r="AZ446" s="27"/>
      <c r="BA446" s="27"/>
      <c r="BB446" s="27"/>
      <c r="BC446" s="28"/>
      <c r="BD446" s="29"/>
      <c r="BE446" s="29"/>
      <c r="BF446" s="27"/>
      <c r="BG446" s="27"/>
      <c r="BH446" s="27"/>
      <c r="BI446" s="27"/>
      <c r="BJ446" s="27"/>
      <c r="BK446" s="27"/>
      <c r="BL446" s="27"/>
      <c r="BM446" s="27"/>
    </row>
    <row r="447">
      <c r="I447" s="27"/>
      <c r="J447" s="27"/>
      <c r="K447" s="27"/>
      <c r="L447" s="27"/>
      <c r="M447" s="28"/>
      <c r="N447" s="29"/>
      <c r="O447" s="29"/>
      <c r="P447" s="29"/>
      <c r="Q447" s="27"/>
      <c r="R447" s="27"/>
      <c r="S447" s="27"/>
      <c r="T447" s="27"/>
      <c r="U447" s="27"/>
      <c r="V447" s="27"/>
      <c r="AE447" s="27"/>
      <c r="AF447" s="27"/>
      <c r="AG447" s="27"/>
      <c r="AH447" s="27"/>
      <c r="AI447" s="28"/>
      <c r="AJ447" s="29"/>
      <c r="AK447" s="29"/>
      <c r="AL447" s="27"/>
      <c r="AM447" s="27"/>
      <c r="AN447" s="27"/>
      <c r="AO447" s="27"/>
      <c r="AP447" s="27"/>
      <c r="AY447" s="27"/>
      <c r="AZ447" s="27"/>
      <c r="BA447" s="27"/>
      <c r="BB447" s="27"/>
      <c r="BC447" s="28"/>
      <c r="BD447" s="29"/>
      <c r="BE447" s="29"/>
      <c r="BF447" s="27"/>
      <c r="BG447" s="27"/>
      <c r="BH447" s="27"/>
      <c r="BI447" s="27"/>
      <c r="BJ447" s="27"/>
      <c r="BK447" s="27"/>
      <c r="BL447" s="27"/>
      <c r="BM447" s="27"/>
    </row>
    <row r="448">
      <c r="I448" s="27"/>
      <c r="J448" s="27"/>
      <c r="K448" s="27"/>
      <c r="L448" s="27"/>
      <c r="M448" s="28"/>
      <c r="N448" s="29"/>
      <c r="O448" s="29"/>
      <c r="P448" s="29"/>
      <c r="Q448" s="27"/>
      <c r="R448" s="27"/>
      <c r="S448" s="27"/>
      <c r="T448" s="27"/>
      <c r="U448" s="27"/>
      <c r="V448" s="27"/>
      <c r="AE448" s="27"/>
      <c r="AF448" s="27"/>
      <c r="AG448" s="27"/>
      <c r="AH448" s="27"/>
      <c r="AI448" s="28"/>
      <c r="AJ448" s="29"/>
      <c r="AK448" s="29"/>
      <c r="AL448" s="27"/>
      <c r="AM448" s="27"/>
      <c r="AN448" s="27"/>
      <c r="AO448" s="27"/>
      <c r="AP448" s="27"/>
      <c r="AY448" s="27"/>
      <c r="AZ448" s="27"/>
      <c r="BA448" s="27"/>
      <c r="BB448" s="27"/>
      <c r="BC448" s="28"/>
      <c r="BD448" s="29"/>
      <c r="BE448" s="29"/>
      <c r="BF448" s="27"/>
      <c r="BG448" s="27"/>
      <c r="BH448" s="27"/>
      <c r="BI448" s="27"/>
      <c r="BJ448" s="27"/>
      <c r="BK448" s="27"/>
      <c r="BL448" s="27"/>
      <c r="BM448" s="27"/>
    </row>
    <row r="449">
      <c r="I449" s="27"/>
      <c r="J449" s="27"/>
      <c r="K449" s="27"/>
      <c r="L449" s="27"/>
      <c r="M449" s="28"/>
      <c r="N449" s="29"/>
      <c r="O449" s="29"/>
      <c r="P449" s="29"/>
      <c r="Q449" s="27"/>
      <c r="R449" s="27"/>
      <c r="S449" s="27"/>
      <c r="T449" s="27"/>
      <c r="U449" s="27"/>
      <c r="V449" s="27"/>
      <c r="AE449" s="27"/>
      <c r="AF449" s="27"/>
      <c r="AG449" s="27"/>
      <c r="AH449" s="27"/>
      <c r="AI449" s="28"/>
      <c r="AJ449" s="29"/>
      <c r="AK449" s="29"/>
      <c r="AL449" s="27"/>
      <c r="AM449" s="27"/>
      <c r="AN449" s="27"/>
      <c r="AO449" s="27"/>
      <c r="AP449" s="27"/>
      <c r="AY449" s="27"/>
      <c r="AZ449" s="27"/>
      <c r="BA449" s="27"/>
      <c r="BB449" s="27"/>
      <c r="BC449" s="28"/>
      <c r="BD449" s="29"/>
      <c r="BE449" s="29"/>
      <c r="BF449" s="27"/>
      <c r="BG449" s="27"/>
      <c r="BH449" s="27"/>
      <c r="BI449" s="27"/>
      <c r="BJ449" s="27"/>
      <c r="BK449" s="27"/>
      <c r="BL449" s="27"/>
      <c r="BM449" s="27"/>
    </row>
    <row r="450">
      <c r="I450" s="27"/>
      <c r="J450" s="27"/>
      <c r="K450" s="27"/>
      <c r="L450" s="27"/>
      <c r="M450" s="28"/>
      <c r="N450" s="29"/>
      <c r="O450" s="29"/>
      <c r="P450" s="29"/>
      <c r="Q450" s="27"/>
      <c r="R450" s="27"/>
      <c r="S450" s="27"/>
      <c r="T450" s="27"/>
      <c r="U450" s="27"/>
      <c r="V450" s="27"/>
      <c r="AE450" s="27"/>
      <c r="AF450" s="27"/>
      <c r="AG450" s="27"/>
      <c r="AH450" s="27"/>
      <c r="AI450" s="28"/>
      <c r="AJ450" s="29"/>
      <c r="AK450" s="29"/>
      <c r="AL450" s="27"/>
      <c r="AM450" s="27"/>
      <c r="AN450" s="27"/>
      <c r="AO450" s="27"/>
      <c r="AP450" s="27"/>
      <c r="AY450" s="27"/>
      <c r="AZ450" s="27"/>
      <c r="BA450" s="27"/>
      <c r="BB450" s="27"/>
      <c r="BC450" s="28"/>
      <c r="BD450" s="29"/>
      <c r="BE450" s="29"/>
      <c r="BF450" s="27"/>
      <c r="BG450" s="27"/>
      <c r="BH450" s="27"/>
      <c r="BI450" s="27"/>
      <c r="BJ450" s="27"/>
      <c r="BK450" s="27"/>
      <c r="BL450" s="27"/>
      <c r="BM450" s="27"/>
    </row>
    <row r="451">
      <c r="I451" s="27"/>
      <c r="J451" s="27"/>
      <c r="K451" s="27"/>
      <c r="L451" s="27"/>
      <c r="M451" s="28"/>
      <c r="N451" s="29"/>
      <c r="O451" s="29"/>
      <c r="P451" s="29"/>
      <c r="Q451" s="27"/>
      <c r="R451" s="27"/>
      <c r="S451" s="27"/>
      <c r="T451" s="27"/>
      <c r="U451" s="27"/>
      <c r="V451" s="27"/>
      <c r="AE451" s="27"/>
      <c r="AF451" s="27"/>
      <c r="AG451" s="27"/>
      <c r="AH451" s="27"/>
      <c r="AI451" s="28"/>
      <c r="AJ451" s="29"/>
      <c r="AK451" s="29"/>
      <c r="AL451" s="27"/>
      <c r="AM451" s="27"/>
      <c r="AN451" s="27"/>
      <c r="AO451" s="27"/>
      <c r="AP451" s="27"/>
      <c r="AY451" s="27"/>
      <c r="AZ451" s="27"/>
      <c r="BA451" s="27"/>
      <c r="BB451" s="27"/>
      <c r="BC451" s="28"/>
      <c r="BD451" s="29"/>
      <c r="BE451" s="29"/>
      <c r="BF451" s="27"/>
      <c r="BG451" s="27"/>
      <c r="BH451" s="27"/>
      <c r="BI451" s="27"/>
      <c r="BJ451" s="27"/>
      <c r="BK451" s="27"/>
      <c r="BL451" s="27"/>
      <c r="BM451" s="27"/>
    </row>
    <row r="452">
      <c r="I452" s="27"/>
      <c r="J452" s="27"/>
      <c r="K452" s="27"/>
      <c r="L452" s="27"/>
      <c r="M452" s="28"/>
      <c r="N452" s="29"/>
      <c r="O452" s="29"/>
      <c r="P452" s="29"/>
      <c r="Q452" s="27"/>
      <c r="R452" s="27"/>
      <c r="S452" s="27"/>
      <c r="T452" s="27"/>
      <c r="U452" s="27"/>
      <c r="V452" s="27"/>
      <c r="AE452" s="27"/>
      <c r="AF452" s="27"/>
      <c r="AG452" s="27"/>
      <c r="AH452" s="27"/>
      <c r="AI452" s="28"/>
      <c r="AJ452" s="29"/>
      <c r="AK452" s="29"/>
      <c r="AL452" s="27"/>
      <c r="AM452" s="27"/>
      <c r="AN452" s="27"/>
      <c r="AO452" s="27"/>
      <c r="AP452" s="27"/>
      <c r="AY452" s="27"/>
      <c r="AZ452" s="27"/>
      <c r="BA452" s="27"/>
      <c r="BB452" s="27"/>
      <c r="BC452" s="28"/>
      <c r="BD452" s="29"/>
      <c r="BE452" s="29"/>
      <c r="BF452" s="27"/>
      <c r="BG452" s="27"/>
      <c r="BH452" s="27"/>
      <c r="BI452" s="27"/>
      <c r="BJ452" s="27"/>
      <c r="BK452" s="27"/>
      <c r="BL452" s="27"/>
      <c r="BM452" s="27"/>
    </row>
    <row r="453">
      <c r="I453" s="27"/>
      <c r="J453" s="27"/>
      <c r="K453" s="27"/>
      <c r="L453" s="27"/>
      <c r="M453" s="28"/>
      <c r="N453" s="29"/>
      <c r="O453" s="29"/>
      <c r="P453" s="29"/>
      <c r="Q453" s="27"/>
      <c r="R453" s="27"/>
      <c r="S453" s="27"/>
      <c r="T453" s="27"/>
      <c r="U453" s="27"/>
      <c r="V453" s="27"/>
      <c r="AE453" s="27"/>
      <c r="AF453" s="27"/>
      <c r="AG453" s="27"/>
      <c r="AH453" s="27"/>
      <c r="AI453" s="28"/>
      <c r="AJ453" s="29"/>
      <c r="AK453" s="29"/>
      <c r="AL453" s="27"/>
      <c r="AM453" s="27"/>
      <c r="AN453" s="27"/>
      <c r="AO453" s="27"/>
      <c r="AP453" s="27"/>
      <c r="AY453" s="27"/>
      <c r="AZ453" s="27"/>
      <c r="BA453" s="27"/>
      <c r="BB453" s="27"/>
      <c r="BC453" s="28"/>
      <c r="BD453" s="29"/>
      <c r="BE453" s="29"/>
      <c r="BF453" s="27"/>
      <c r="BG453" s="27"/>
      <c r="BH453" s="27"/>
      <c r="BI453" s="27"/>
      <c r="BJ453" s="27"/>
      <c r="BK453" s="27"/>
      <c r="BL453" s="27"/>
      <c r="BM453" s="27"/>
    </row>
    <row r="454">
      <c r="I454" s="27"/>
      <c r="J454" s="27"/>
      <c r="K454" s="27"/>
      <c r="L454" s="27"/>
      <c r="M454" s="28"/>
      <c r="N454" s="29"/>
      <c r="O454" s="29"/>
      <c r="P454" s="29"/>
      <c r="Q454" s="27"/>
      <c r="R454" s="27"/>
      <c r="S454" s="27"/>
      <c r="T454" s="27"/>
      <c r="U454" s="27"/>
      <c r="V454" s="27"/>
      <c r="AE454" s="27"/>
      <c r="AF454" s="27"/>
      <c r="AG454" s="27"/>
      <c r="AH454" s="27"/>
      <c r="AI454" s="28"/>
      <c r="AJ454" s="29"/>
      <c r="AK454" s="29"/>
      <c r="AL454" s="27"/>
      <c r="AM454" s="27"/>
      <c r="AN454" s="27"/>
      <c r="AO454" s="27"/>
      <c r="AP454" s="27"/>
      <c r="AY454" s="27"/>
      <c r="AZ454" s="27"/>
      <c r="BA454" s="27"/>
      <c r="BB454" s="27"/>
      <c r="BC454" s="28"/>
      <c r="BD454" s="29"/>
      <c r="BE454" s="29"/>
      <c r="BF454" s="27"/>
      <c r="BG454" s="27"/>
      <c r="BH454" s="27"/>
      <c r="BI454" s="27"/>
      <c r="BJ454" s="27"/>
      <c r="BK454" s="27"/>
      <c r="BL454" s="27"/>
      <c r="BM454" s="27"/>
    </row>
    <row r="455">
      <c r="I455" s="27"/>
      <c r="J455" s="27"/>
      <c r="K455" s="27"/>
      <c r="L455" s="27"/>
      <c r="M455" s="28"/>
      <c r="N455" s="29"/>
      <c r="O455" s="29"/>
      <c r="P455" s="29"/>
      <c r="Q455" s="27"/>
      <c r="R455" s="27"/>
      <c r="S455" s="27"/>
      <c r="T455" s="27"/>
      <c r="U455" s="27"/>
      <c r="V455" s="27"/>
      <c r="AE455" s="27"/>
      <c r="AF455" s="27"/>
      <c r="AG455" s="27"/>
      <c r="AH455" s="27"/>
      <c r="AI455" s="28"/>
      <c r="AJ455" s="29"/>
      <c r="AK455" s="29"/>
      <c r="AL455" s="27"/>
      <c r="AM455" s="27"/>
      <c r="AN455" s="27"/>
      <c r="AO455" s="27"/>
      <c r="AP455" s="27"/>
      <c r="AY455" s="27"/>
      <c r="AZ455" s="27"/>
      <c r="BA455" s="27"/>
      <c r="BB455" s="27"/>
      <c r="BC455" s="28"/>
      <c r="BD455" s="29"/>
      <c r="BE455" s="29"/>
      <c r="BF455" s="27"/>
      <c r="BG455" s="27"/>
      <c r="BH455" s="27"/>
      <c r="BI455" s="27"/>
      <c r="BJ455" s="27"/>
      <c r="BK455" s="27"/>
      <c r="BL455" s="27"/>
      <c r="BM455" s="27"/>
    </row>
    <row r="456">
      <c r="I456" s="27"/>
      <c r="J456" s="27"/>
      <c r="K456" s="27"/>
      <c r="L456" s="27"/>
      <c r="M456" s="28"/>
      <c r="N456" s="29"/>
      <c r="O456" s="29"/>
      <c r="P456" s="29"/>
      <c r="Q456" s="27"/>
      <c r="R456" s="27"/>
      <c r="S456" s="27"/>
      <c r="T456" s="27"/>
      <c r="U456" s="27"/>
      <c r="V456" s="27"/>
      <c r="AE456" s="27"/>
      <c r="AF456" s="27"/>
      <c r="AG456" s="27"/>
      <c r="AH456" s="27"/>
      <c r="AI456" s="28"/>
      <c r="AJ456" s="29"/>
      <c r="AK456" s="29"/>
      <c r="AL456" s="27"/>
      <c r="AM456" s="27"/>
      <c r="AN456" s="27"/>
      <c r="AO456" s="27"/>
      <c r="AP456" s="27"/>
      <c r="AY456" s="27"/>
      <c r="AZ456" s="27"/>
      <c r="BA456" s="27"/>
      <c r="BB456" s="27"/>
      <c r="BC456" s="28"/>
      <c r="BD456" s="29"/>
      <c r="BE456" s="29"/>
      <c r="BF456" s="27"/>
      <c r="BG456" s="27"/>
      <c r="BH456" s="27"/>
      <c r="BI456" s="27"/>
      <c r="BJ456" s="27"/>
      <c r="BK456" s="27"/>
      <c r="BL456" s="27"/>
      <c r="BM456" s="27"/>
    </row>
    <row r="457">
      <c r="I457" s="27"/>
      <c r="J457" s="27"/>
      <c r="K457" s="27"/>
      <c r="L457" s="27"/>
      <c r="M457" s="28"/>
      <c r="N457" s="29"/>
      <c r="O457" s="29"/>
      <c r="P457" s="29"/>
      <c r="Q457" s="27"/>
      <c r="R457" s="27"/>
      <c r="S457" s="27"/>
      <c r="T457" s="27"/>
      <c r="U457" s="27"/>
      <c r="V457" s="27"/>
      <c r="AE457" s="27"/>
      <c r="AF457" s="27"/>
      <c r="AG457" s="27"/>
      <c r="AH457" s="27"/>
      <c r="AI457" s="28"/>
      <c r="AJ457" s="29"/>
      <c r="AK457" s="29"/>
      <c r="AL457" s="27"/>
      <c r="AM457" s="27"/>
      <c r="AN457" s="27"/>
      <c r="AO457" s="27"/>
      <c r="AP457" s="27"/>
      <c r="AY457" s="27"/>
      <c r="AZ457" s="27"/>
      <c r="BA457" s="27"/>
      <c r="BB457" s="27"/>
      <c r="BC457" s="28"/>
      <c r="BD457" s="29"/>
      <c r="BE457" s="29"/>
      <c r="BF457" s="27"/>
      <c r="BG457" s="27"/>
      <c r="BH457" s="27"/>
      <c r="BI457" s="27"/>
      <c r="BJ457" s="27"/>
      <c r="BK457" s="27"/>
      <c r="BL457" s="27"/>
      <c r="BM457" s="27"/>
    </row>
    <row r="458">
      <c r="I458" s="27"/>
      <c r="J458" s="27"/>
      <c r="K458" s="27"/>
      <c r="L458" s="27"/>
      <c r="M458" s="28"/>
      <c r="N458" s="29"/>
      <c r="O458" s="29"/>
      <c r="P458" s="29"/>
      <c r="Q458" s="27"/>
      <c r="R458" s="27"/>
      <c r="S458" s="27"/>
      <c r="T458" s="27"/>
      <c r="U458" s="27"/>
      <c r="V458" s="27"/>
      <c r="AE458" s="27"/>
      <c r="AF458" s="27"/>
      <c r="AG458" s="27"/>
      <c r="AH458" s="27"/>
      <c r="AI458" s="28"/>
      <c r="AJ458" s="29"/>
      <c r="AK458" s="29"/>
      <c r="AL458" s="27"/>
      <c r="AM458" s="27"/>
      <c r="AN458" s="27"/>
      <c r="AO458" s="27"/>
      <c r="AP458" s="27"/>
      <c r="AY458" s="27"/>
      <c r="AZ458" s="27"/>
      <c r="BA458" s="27"/>
      <c r="BB458" s="27"/>
      <c r="BC458" s="28"/>
      <c r="BD458" s="29"/>
      <c r="BE458" s="29"/>
      <c r="BF458" s="27"/>
      <c r="BG458" s="27"/>
      <c r="BH458" s="27"/>
      <c r="BI458" s="27"/>
      <c r="BJ458" s="27"/>
      <c r="BK458" s="27"/>
      <c r="BL458" s="27"/>
      <c r="BM458" s="27"/>
    </row>
    <row r="459">
      <c r="I459" s="27"/>
      <c r="J459" s="27"/>
      <c r="K459" s="27"/>
      <c r="L459" s="27"/>
      <c r="M459" s="28"/>
      <c r="N459" s="29"/>
      <c r="O459" s="29"/>
      <c r="P459" s="29"/>
      <c r="Q459" s="27"/>
      <c r="R459" s="27"/>
      <c r="S459" s="27"/>
      <c r="T459" s="27"/>
      <c r="U459" s="27"/>
      <c r="V459" s="27"/>
      <c r="AE459" s="27"/>
      <c r="AF459" s="27"/>
      <c r="AG459" s="27"/>
      <c r="AH459" s="27"/>
      <c r="AI459" s="28"/>
      <c r="AJ459" s="29"/>
      <c r="AK459" s="29"/>
      <c r="AL459" s="27"/>
      <c r="AM459" s="27"/>
      <c r="AN459" s="27"/>
      <c r="AO459" s="27"/>
      <c r="AP459" s="27"/>
      <c r="AY459" s="27"/>
      <c r="AZ459" s="27"/>
      <c r="BA459" s="27"/>
      <c r="BB459" s="27"/>
      <c r="BC459" s="28"/>
      <c r="BD459" s="29"/>
      <c r="BE459" s="29"/>
      <c r="BF459" s="27"/>
      <c r="BG459" s="27"/>
      <c r="BH459" s="27"/>
      <c r="BI459" s="27"/>
      <c r="BJ459" s="27"/>
      <c r="BK459" s="27"/>
      <c r="BL459" s="27"/>
      <c r="BM459" s="27"/>
    </row>
    <row r="460">
      <c r="I460" s="27"/>
      <c r="J460" s="27"/>
      <c r="K460" s="27"/>
      <c r="L460" s="27"/>
      <c r="M460" s="28"/>
      <c r="N460" s="29"/>
      <c r="O460" s="29"/>
      <c r="P460" s="29"/>
      <c r="Q460" s="27"/>
      <c r="R460" s="27"/>
      <c r="S460" s="27"/>
      <c r="T460" s="27"/>
      <c r="U460" s="27"/>
      <c r="V460" s="27"/>
      <c r="AE460" s="27"/>
      <c r="AF460" s="27"/>
      <c r="AG460" s="27"/>
      <c r="AH460" s="27"/>
      <c r="AI460" s="28"/>
      <c r="AJ460" s="29"/>
      <c r="AK460" s="29"/>
      <c r="AL460" s="27"/>
      <c r="AM460" s="27"/>
      <c r="AN460" s="27"/>
      <c r="AO460" s="27"/>
      <c r="AP460" s="27"/>
      <c r="AY460" s="27"/>
      <c r="AZ460" s="27"/>
      <c r="BA460" s="27"/>
      <c r="BB460" s="27"/>
      <c r="BC460" s="28"/>
      <c r="BD460" s="29"/>
      <c r="BE460" s="29"/>
      <c r="BF460" s="27"/>
      <c r="BG460" s="27"/>
      <c r="BH460" s="27"/>
      <c r="BI460" s="27"/>
      <c r="BJ460" s="27"/>
      <c r="BK460" s="27"/>
      <c r="BL460" s="27"/>
      <c r="BM460" s="27"/>
    </row>
    <row r="461">
      <c r="I461" s="27"/>
      <c r="J461" s="27"/>
      <c r="K461" s="27"/>
      <c r="L461" s="27"/>
      <c r="M461" s="28"/>
      <c r="N461" s="29"/>
      <c r="O461" s="29"/>
      <c r="P461" s="29"/>
      <c r="Q461" s="27"/>
      <c r="R461" s="27"/>
      <c r="S461" s="27"/>
      <c r="T461" s="27"/>
      <c r="U461" s="27"/>
      <c r="V461" s="27"/>
      <c r="AE461" s="27"/>
      <c r="AF461" s="27"/>
      <c r="AG461" s="27"/>
      <c r="AH461" s="27"/>
      <c r="AI461" s="28"/>
      <c r="AJ461" s="29"/>
      <c r="AK461" s="29"/>
      <c r="AL461" s="27"/>
      <c r="AM461" s="27"/>
      <c r="AN461" s="27"/>
      <c r="AO461" s="27"/>
      <c r="AP461" s="27"/>
      <c r="AY461" s="27"/>
      <c r="AZ461" s="27"/>
      <c r="BA461" s="27"/>
      <c r="BB461" s="27"/>
      <c r="BC461" s="28"/>
      <c r="BD461" s="29"/>
      <c r="BE461" s="29"/>
      <c r="BF461" s="27"/>
      <c r="BG461" s="27"/>
      <c r="BH461" s="27"/>
      <c r="BI461" s="27"/>
      <c r="BJ461" s="27"/>
      <c r="BK461" s="27"/>
      <c r="BL461" s="27"/>
      <c r="BM461" s="27"/>
    </row>
    <row r="462">
      <c r="I462" s="27"/>
      <c r="J462" s="27"/>
      <c r="K462" s="27"/>
      <c r="L462" s="27"/>
      <c r="M462" s="28"/>
      <c r="N462" s="29"/>
      <c r="O462" s="29"/>
      <c r="P462" s="29"/>
      <c r="Q462" s="27"/>
      <c r="R462" s="27"/>
      <c r="S462" s="27"/>
      <c r="T462" s="27"/>
      <c r="U462" s="27"/>
      <c r="V462" s="27"/>
      <c r="AE462" s="27"/>
      <c r="AF462" s="27"/>
      <c r="AG462" s="27"/>
      <c r="AH462" s="27"/>
      <c r="AI462" s="28"/>
      <c r="AJ462" s="29"/>
      <c r="AK462" s="29"/>
      <c r="AL462" s="27"/>
      <c r="AM462" s="27"/>
      <c r="AN462" s="27"/>
      <c r="AO462" s="27"/>
      <c r="AP462" s="27"/>
      <c r="AY462" s="27"/>
      <c r="AZ462" s="27"/>
      <c r="BA462" s="27"/>
      <c r="BB462" s="27"/>
      <c r="BC462" s="28"/>
      <c r="BD462" s="29"/>
      <c r="BE462" s="29"/>
      <c r="BF462" s="27"/>
      <c r="BG462" s="27"/>
      <c r="BH462" s="27"/>
      <c r="BI462" s="27"/>
      <c r="BJ462" s="27"/>
      <c r="BK462" s="27"/>
      <c r="BL462" s="27"/>
      <c r="BM462" s="27"/>
    </row>
    <row r="463">
      <c r="I463" s="27"/>
      <c r="J463" s="27"/>
      <c r="K463" s="27"/>
      <c r="L463" s="27"/>
      <c r="M463" s="28"/>
      <c r="N463" s="29"/>
      <c r="O463" s="29"/>
      <c r="P463" s="29"/>
      <c r="Q463" s="27"/>
      <c r="R463" s="27"/>
      <c r="S463" s="27"/>
      <c r="T463" s="27"/>
      <c r="U463" s="27"/>
      <c r="V463" s="27"/>
      <c r="AE463" s="27"/>
      <c r="AF463" s="27"/>
      <c r="AG463" s="27"/>
      <c r="AH463" s="27"/>
      <c r="AI463" s="28"/>
      <c r="AJ463" s="29"/>
      <c r="AK463" s="29"/>
      <c r="AL463" s="27"/>
      <c r="AM463" s="27"/>
      <c r="AN463" s="27"/>
      <c r="AO463" s="27"/>
      <c r="AP463" s="27"/>
      <c r="AY463" s="27"/>
      <c r="AZ463" s="27"/>
      <c r="BA463" s="27"/>
      <c r="BB463" s="27"/>
      <c r="BC463" s="28"/>
      <c r="BD463" s="29"/>
      <c r="BE463" s="29"/>
      <c r="BF463" s="27"/>
      <c r="BG463" s="27"/>
      <c r="BH463" s="27"/>
      <c r="BI463" s="27"/>
      <c r="BJ463" s="27"/>
      <c r="BK463" s="27"/>
      <c r="BL463" s="27"/>
      <c r="BM463" s="27"/>
    </row>
    <row r="464">
      <c r="I464" s="27"/>
      <c r="J464" s="27"/>
      <c r="K464" s="27"/>
      <c r="L464" s="27"/>
      <c r="M464" s="28"/>
      <c r="N464" s="29"/>
      <c r="O464" s="29"/>
      <c r="P464" s="29"/>
      <c r="Q464" s="27"/>
      <c r="R464" s="27"/>
      <c r="S464" s="27"/>
      <c r="T464" s="27"/>
      <c r="U464" s="27"/>
      <c r="V464" s="27"/>
      <c r="AE464" s="27"/>
      <c r="AF464" s="27"/>
      <c r="AG464" s="27"/>
      <c r="AH464" s="27"/>
      <c r="AI464" s="28"/>
      <c r="AJ464" s="29"/>
      <c r="AK464" s="29"/>
      <c r="AL464" s="27"/>
      <c r="AM464" s="27"/>
      <c r="AN464" s="27"/>
      <c r="AO464" s="27"/>
      <c r="AP464" s="27"/>
      <c r="AY464" s="27"/>
      <c r="AZ464" s="27"/>
      <c r="BA464" s="27"/>
      <c r="BB464" s="27"/>
      <c r="BC464" s="28"/>
      <c r="BD464" s="29"/>
      <c r="BE464" s="29"/>
      <c r="BF464" s="27"/>
      <c r="BG464" s="27"/>
      <c r="BH464" s="27"/>
      <c r="BI464" s="27"/>
      <c r="BJ464" s="27"/>
      <c r="BK464" s="27"/>
      <c r="BL464" s="27"/>
      <c r="BM464" s="27"/>
    </row>
    <row r="465">
      <c r="I465" s="27"/>
      <c r="J465" s="27"/>
      <c r="K465" s="27"/>
      <c r="L465" s="27"/>
      <c r="M465" s="28"/>
      <c r="N465" s="29"/>
      <c r="O465" s="29"/>
      <c r="P465" s="29"/>
      <c r="Q465" s="27"/>
      <c r="R465" s="27"/>
      <c r="S465" s="27"/>
      <c r="T465" s="27"/>
      <c r="U465" s="27"/>
      <c r="V465" s="27"/>
      <c r="AE465" s="27"/>
      <c r="AF465" s="27"/>
      <c r="AG465" s="27"/>
      <c r="AH465" s="27"/>
      <c r="AI465" s="28"/>
      <c r="AJ465" s="29"/>
      <c r="AK465" s="29"/>
      <c r="AL465" s="27"/>
      <c r="AM465" s="27"/>
      <c r="AN465" s="27"/>
      <c r="AO465" s="27"/>
      <c r="AP465" s="27"/>
      <c r="AY465" s="27"/>
      <c r="AZ465" s="27"/>
      <c r="BA465" s="27"/>
      <c r="BB465" s="27"/>
      <c r="BC465" s="28"/>
      <c r="BD465" s="29"/>
      <c r="BE465" s="29"/>
      <c r="BF465" s="27"/>
      <c r="BG465" s="27"/>
      <c r="BH465" s="27"/>
      <c r="BI465" s="27"/>
      <c r="BJ465" s="27"/>
      <c r="BK465" s="27"/>
      <c r="BL465" s="27"/>
      <c r="BM465" s="27"/>
    </row>
    <row r="466">
      <c r="I466" s="27"/>
      <c r="J466" s="27"/>
      <c r="K466" s="27"/>
      <c r="L466" s="27"/>
      <c r="M466" s="28"/>
      <c r="N466" s="29"/>
      <c r="O466" s="29"/>
      <c r="P466" s="29"/>
      <c r="Q466" s="27"/>
      <c r="R466" s="27"/>
      <c r="S466" s="27"/>
      <c r="T466" s="27"/>
      <c r="U466" s="27"/>
      <c r="V466" s="27"/>
      <c r="AE466" s="27"/>
      <c r="AF466" s="27"/>
      <c r="AG466" s="27"/>
      <c r="AH466" s="27"/>
      <c r="AI466" s="28"/>
      <c r="AJ466" s="29"/>
      <c r="AK466" s="29"/>
      <c r="AL466" s="27"/>
      <c r="AM466" s="27"/>
      <c r="AN466" s="27"/>
      <c r="AO466" s="27"/>
      <c r="AP466" s="27"/>
      <c r="AY466" s="27"/>
      <c r="AZ466" s="27"/>
      <c r="BA466" s="27"/>
      <c r="BB466" s="27"/>
      <c r="BC466" s="28"/>
      <c r="BD466" s="29"/>
      <c r="BE466" s="29"/>
      <c r="BF466" s="27"/>
      <c r="BG466" s="27"/>
      <c r="BH466" s="27"/>
      <c r="BI466" s="27"/>
      <c r="BJ466" s="27"/>
      <c r="BK466" s="27"/>
      <c r="BL466" s="27"/>
      <c r="BM466" s="27"/>
    </row>
    <row r="467">
      <c r="I467" s="27"/>
      <c r="J467" s="27"/>
      <c r="K467" s="27"/>
      <c r="L467" s="27"/>
      <c r="M467" s="28"/>
      <c r="N467" s="29"/>
      <c r="O467" s="29"/>
      <c r="P467" s="29"/>
      <c r="Q467" s="27"/>
      <c r="R467" s="27"/>
      <c r="S467" s="27"/>
      <c r="T467" s="27"/>
      <c r="U467" s="27"/>
      <c r="V467" s="27"/>
      <c r="AE467" s="27"/>
      <c r="AF467" s="27"/>
      <c r="AG467" s="27"/>
      <c r="AH467" s="27"/>
      <c r="AI467" s="28"/>
      <c r="AJ467" s="29"/>
      <c r="AK467" s="29"/>
      <c r="AL467" s="27"/>
      <c r="AM467" s="27"/>
      <c r="AN467" s="27"/>
      <c r="AO467" s="27"/>
      <c r="AP467" s="27"/>
      <c r="AY467" s="27"/>
      <c r="AZ467" s="27"/>
      <c r="BA467" s="27"/>
      <c r="BB467" s="27"/>
      <c r="BC467" s="28"/>
      <c r="BD467" s="29"/>
      <c r="BE467" s="29"/>
      <c r="BF467" s="27"/>
      <c r="BG467" s="27"/>
      <c r="BH467" s="27"/>
      <c r="BI467" s="27"/>
      <c r="BJ467" s="27"/>
      <c r="BK467" s="27"/>
      <c r="BL467" s="27"/>
      <c r="BM467" s="27"/>
    </row>
    <row r="468">
      <c r="I468" s="27"/>
      <c r="J468" s="27"/>
      <c r="K468" s="27"/>
      <c r="L468" s="27"/>
      <c r="M468" s="28"/>
      <c r="N468" s="29"/>
      <c r="O468" s="29"/>
      <c r="P468" s="29"/>
      <c r="Q468" s="27"/>
      <c r="R468" s="27"/>
      <c r="S468" s="27"/>
      <c r="T468" s="27"/>
      <c r="U468" s="27"/>
      <c r="V468" s="27"/>
      <c r="AE468" s="27"/>
      <c r="AF468" s="27"/>
      <c r="AG468" s="27"/>
      <c r="AH468" s="27"/>
      <c r="AI468" s="28"/>
      <c r="AJ468" s="29"/>
      <c r="AK468" s="29"/>
      <c r="AL468" s="27"/>
      <c r="AM468" s="27"/>
      <c r="AN468" s="27"/>
      <c r="AO468" s="27"/>
      <c r="AP468" s="27"/>
      <c r="AY468" s="27"/>
      <c r="AZ468" s="27"/>
      <c r="BA468" s="27"/>
      <c r="BB468" s="27"/>
      <c r="BC468" s="28"/>
      <c r="BD468" s="29"/>
      <c r="BE468" s="29"/>
      <c r="BF468" s="27"/>
      <c r="BG468" s="27"/>
      <c r="BH468" s="27"/>
      <c r="BI468" s="27"/>
      <c r="BJ468" s="27"/>
      <c r="BK468" s="27"/>
      <c r="BL468" s="27"/>
      <c r="BM468" s="27"/>
    </row>
    <row r="469">
      <c r="I469" s="27"/>
      <c r="J469" s="27"/>
      <c r="K469" s="27"/>
      <c r="L469" s="27"/>
      <c r="M469" s="28"/>
      <c r="N469" s="29"/>
      <c r="O469" s="29"/>
      <c r="P469" s="29"/>
      <c r="Q469" s="27"/>
      <c r="R469" s="27"/>
      <c r="S469" s="27"/>
      <c r="T469" s="27"/>
      <c r="U469" s="27"/>
      <c r="V469" s="27"/>
      <c r="AE469" s="27"/>
      <c r="AF469" s="27"/>
      <c r="AG469" s="27"/>
      <c r="AH469" s="27"/>
      <c r="AI469" s="28"/>
      <c r="AJ469" s="29"/>
      <c r="AK469" s="29"/>
      <c r="AL469" s="27"/>
      <c r="AM469" s="27"/>
      <c r="AN469" s="27"/>
      <c r="AO469" s="27"/>
      <c r="AP469" s="27"/>
      <c r="AY469" s="27"/>
      <c r="AZ469" s="27"/>
      <c r="BA469" s="27"/>
      <c r="BB469" s="27"/>
      <c r="BC469" s="28"/>
      <c r="BD469" s="29"/>
      <c r="BE469" s="29"/>
      <c r="BF469" s="27"/>
      <c r="BG469" s="27"/>
      <c r="BH469" s="27"/>
      <c r="BI469" s="27"/>
      <c r="BJ469" s="27"/>
      <c r="BK469" s="27"/>
      <c r="BL469" s="27"/>
      <c r="BM469" s="27"/>
    </row>
    <row r="470">
      <c r="I470" s="27"/>
      <c r="J470" s="27"/>
      <c r="K470" s="27"/>
      <c r="L470" s="27"/>
      <c r="M470" s="28"/>
      <c r="N470" s="29"/>
      <c r="O470" s="29"/>
      <c r="P470" s="29"/>
      <c r="Q470" s="27"/>
      <c r="R470" s="27"/>
      <c r="S470" s="27"/>
      <c r="T470" s="27"/>
      <c r="U470" s="27"/>
      <c r="V470" s="27"/>
      <c r="AE470" s="27"/>
      <c r="AF470" s="27"/>
      <c r="AG470" s="27"/>
      <c r="AH470" s="27"/>
      <c r="AI470" s="28"/>
      <c r="AJ470" s="29"/>
      <c r="AK470" s="29"/>
      <c r="AL470" s="27"/>
      <c r="AM470" s="27"/>
      <c r="AN470" s="27"/>
      <c r="AO470" s="27"/>
      <c r="AP470" s="27"/>
      <c r="AY470" s="27"/>
      <c r="AZ470" s="27"/>
      <c r="BA470" s="27"/>
      <c r="BB470" s="27"/>
      <c r="BC470" s="28"/>
      <c r="BD470" s="29"/>
      <c r="BE470" s="29"/>
      <c r="BF470" s="27"/>
      <c r="BG470" s="27"/>
      <c r="BH470" s="27"/>
      <c r="BI470" s="27"/>
      <c r="BJ470" s="27"/>
      <c r="BK470" s="27"/>
      <c r="BL470" s="27"/>
      <c r="BM470" s="27"/>
    </row>
    <row r="471">
      <c r="I471" s="27"/>
      <c r="J471" s="27"/>
      <c r="K471" s="27"/>
      <c r="L471" s="27"/>
      <c r="M471" s="28"/>
      <c r="N471" s="29"/>
      <c r="O471" s="29"/>
      <c r="P471" s="29"/>
      <c r="Q471" s="27"/>
      <c r="R471" s="27"/>
      <c r="S471" s="27"/>
      <c r="T471" s="27"/>
      <c r="U471" s="27"/>
      <c r="V471" s="27"/>
      <c r="AE471" s="27"/>
      <c r="AF471" s="27"/>
      <c r="AG471" s="27"/>
      <c r="AH471" s="27"/>
      <c r="AI471" s="28"/>
      <c r="AJ471" s="29"/>
      <c r="AK471" s="29"/>
      <c r="AL471" s="27"/>
      <c r="AM471" s="27"/>
      <c r="AN471" s="27"/>
      <c r="AO471" s="27"/>
      <c r="AP471" s="27"/>
      <c r="AY471" s="27"/>
      <c r="AZ471" s="27"/>
      <c r="BA471" s="27"/>
      <c r="BB471" s="27"/>
      <c r="BC471" s="28"/>
      <c r="BD471" s="29"/>
      <c r="BE471" s="29"/>
      <c r="BF471" s="27"/>
      <c r="BG471" s="27"/>
      <c r="BH471" s="27"/>
      <c r="BI471" s="27"/>
      <c r="BJ471" s="27"/>
      <c r="BK471" s="27"/>
      <c r="BL471" s="27"/>
      <c r="BM471" s="27"/>
    </row>
    <row r="472">
      <c r="I472" s="27"/>
      <c r="J472" s="27"/>
      <c r="K472" s="27"/>
      <c r="L472" s="27"/>
      <c r="M472" s="28"/>
      <c r="N472" s="29"/>
      <c r="O472" s="29"/>
      <c r="P472" s="29"/>
      <c r="Q472" s="27"/>
      <c r="R472" s="27"/>
      <c r="S472" s="27"/>
      <c r="T472" s="27"/>
      <c r="U472" s="27"/>
      <c r="V472" s="27"/>
      <c r="AE472" s="27"/>
      <c r="AF472" s="27"/>
      <c r="AG472" s="27"/>
      <c r="AH472" s="27"/>
      <c r="AI472" s="28"/>
      <c r="AJ472" s="29"/>
      <c r="AK472" s="29"/>
      <c r="AL472" s="27"/>
      <c r="AM472" s="27"/>
      <c r="AN472" s="27"/>
      <c r="AO472" s="27"/>
      <c r="AP472" s="27"/>
      <c r="AY472" s="27"/>
      <c r="AZ472" s="27"/>
      <c r="BA472" s="27"/>
      <c r="BB472" s="27"/>
      <c r="BC472" s="28"/>
      <c r="BD472" s="29"/>
      <c r="BE472" s="29"/>
      <c r="BF472" s="27"/>
      <c r="BG472" s="27"/>
      <c r="BH472" s="27"/>
      <c r="BI472" s="27"/>
      <c r="BJ472" s="27"/>
      <c r="BK472" s="27"/>
      <c r="BL472" s="27"/>
      <c r="BM472" s="27"/>
    </row>
    <row r="473">
      <c r="I473" s="27"/>
      <c r="J473" s="27"/>
      <c r="K473" s="27"/>
      <c r="L473" s="27"/>
      <c r="M473" s="28"/>
      <c r="N473" s="29"/>
      <c r="O473" s="29"/>
      <c r="P473" s="29"/>
      <c r="Q473" s="27"/>
      <c r="R473" s="27"/>
      <c r="S473" s="27"/>
      <c r="T473" s="27"/>
      <c r="U473" s="27"/>
      <c r="V473" s="27"/>
      <c r="AE473" s="27"/>
      <c r="AF473" s="27"/>
      <c r="AG473" s="27"/>
      <c r="AH473" s="27"/>
      <c r="AI473" s="28"/>
      <c r="AJ473" s="29"/>
      <c r="AK473" s="29"/>
      <c r="AL473" s="27"/>
      <c r="AM473" s="27"/>
      <c r="AN473" s="27"/>
      <c r="AO473" s="27"/>
      <c r="AP473" s="27"/>
      <c r="AY473" s="27"/>
      <c r="AZ473" s="27"/>
      <c r="BA473" s="27"/>
      <c r="BB473" s="27"/>
      <c r="BC473" s="28"/>
      <c r="BD473" s="29"/>
      <c r="BE473" s="29"/>
      <c r="BF473" s="27"/>
      <c r="BG473" s="27"/>
      <c r="BH473" s="27"/>
      <c r="BI473" s="27"/>
      <c r="BJ473" s="27"/>
      <c r="BK473" s="27"/>
      <c r="BL473" s="27"/>
      <c r="BM473" s="27"/>
    </row>
    <row r="474">
      <c r="I474" s="27"/>
      <c r="J474" s="27"/>
      <c r="K474" s="27"/>
      <c r="L474" s="27"/>
      <c r="M474" s="28"/>
      <c r="N474" s="29"/>
      <c r="O474" s="29"/>
      <c r="P474" s="29"/>
      <c r="Q474" s="27"/>
      <c r="R474" s="27"/>
      <c r="S474" s="27"/>
      <c r="T474" s="27"/>
      <c r="U474" s="27"/>
      <c r="V474" s="27"/>
      <c r="AE474" s="27"/>
      <c r="AF474" s="27"/>
      <c r="AG474" s="27"/>
      <c r="AH474" s="27"/>
      <c r="AI474" s="28"/>
      <c r="AJ474" s="29"/>
      <c r="AK474" s="29"/>
      <c r="AL474" s="27"/>
      <c r="AM474" s="27"/>
      <c r="AN474" s="27"/>
      <c r="AO474" s="27"/>
      <c r="AP474" s="27"/>
      <c r="AY474" s="27"/>
      <c r="AZ474" s="27"/>
      <c r="BA474" s="27"/>
      <c r="BB474" s="27"/>
      <c r="BC474" s="28"/>
      <c r="BD474" s="29"/>
      <c r="BE474" s="29"/>
      <c r="BF474" s="27"/>
      <c r="BG474" s="27"/>
      <c r="BH474" s="27"/>
      <c r="BI474" s="27"/>
      <c r="BJ474" s="27"/>
      <c r="BK474" s="27"/>
      <c r="BL474" s="27"/>
      <c r="BM474" s="27"/>
    </row>
    <row r="475">
      <c r="I475" s="27"/>
      <c r="J475" s="27"/>
      <c r="K475" s="27"/>
      <c r="L475" s="27"/>
      <c r="M475" s="28"/>
      <c r="N475" s="29"/>
      <c r="O475" s="29"/>
      <c r="P475" s="29"/>
      <c r="Q475" s="27"/>
      <c r="R475" s="27"/>
      <c r="S475" s="27"/>
      <c r="T475" s="27"/>
      <c r="U475" s="27"/>
      <c r="V475" s="27"/>
      <c r="AE475" s="27"/>
      <c r="AF475" s="27"/>
      <c r="AG475" s="27"/>
      <c r="AH475" s="27"/>
      <c r="AI475" s="28"/>
      <c r="AJ475" s="29"/>
      <c r="AK475" s="29"/>
      <c r="AL475" s="27"/>
      <c r="AM475" s="27"/>
      <c r="AN475" s="27"/>
      <c r="AO475" s="27"/>
      <c r="AP475" s="27"/>
      <c r="AY475" s="27"/>
      <c r="AZ475" s="27"/>
      <c r="BA475" s="27"/>
      <c r="BB475" s="27"/>
      <c r="BC475" s="28"/>
      <c r="BD475" s="29"/>
      <c r="BE475" s="29"/>
      <c r="BF475" s="27"/>
      <c r="BG475" s="27"/>
      <c r="BH475" s="27"/>
      <c r="BI475" s="27"/>
      <c r="BJ475" s="27"/>
      <c r="BK475" s="27"/>
      <c r="BL475" s="27"/>
      <c r="BM475" s="27"/>
    </row>
    <row r="476">
      <c r="I476" s="27"/>
      <c r="J476" s="27"/>
      <c r="K476" s="27"/>
      <c r="L476" s="27"/>
      <c r="M476" s="28"/>
      <c r="N476" s="29"/>
      <c r="O476" s="29"/>
      <c r="P476" s="29"/>
      <c r="Q476" s="27"/>
      <c r="R476" s="27"/>
      <c r="S476" s="27"/>
      <c r="T476" s="27"/>
      <c r="U476" s="27"/>
      <c r="V476" s="27"/>
      <c r="AE476" s="27"/>
      <c r="AF476" s="27"/>
      <c r="AG476" s="27"/>
      <c r="AH476" s="27"/>
      <c r="AI476" s="28"/>
      <c r="AJ476" s="29"/>
      <c r="AK476" s="29"/>
      <c r="AL476" s="27"/>
      <c r="AM476" s="27"/>
      <c r="AN476" s="27"/>
      <c r="AO476" s="27"/>
      <c r="AP476" s="27"/>
      <c r="AY476" s="27"/>
      <c r="AZ476" s="27"/>
      <c r="BA476" s="27"/>
      <c r="BB476" s="27"/>
      <c r="BC476" s="28"/>
      <c r="BD476" s="29"/>
      <c r="BE476" s="29"/>
      <c r="BF476" s="27"/>
      <c r="BG476" s="27"/>
      <c r="BH476" s="27"/>
      <c r="BI476" s="27"/>
      <c r="BJ476" s="27"/>
      <c r="BK476" s="27"/>
      <c r="BL476" s="27"/>
      <c r="BM476" s="27"/>
    </row>
    <row r="477">
      <c r="I477" s="27"/>
      <c r="J477" s="27"/>
      <c r="K477" s="27"/>
      <c r="L477" s="27"/>
      <c r="M477" s="28"/>
      <c r="N477" s="29"/>
      <c r="O477" s="29"/>
      <c r="P477" s="29"/>
      <c r="Q477" s="27"/>
      <c r="R477" s="27"/>
      <c r="S477" s="27"/>
      <c r="T477" s="27"/>
      <c r="U477" s="27"/>
      <c r="V477" s="27"/>
      <c r="AE477" s="27"/>
      <c r="AF477" s="27"/>
      <c r="AG477" s="27"/>
      <c r="AH477" s="27"/>
      <c r="AI477" s="28"/>
      <c r="AJ477" s="29"/>
      <c r="AK477" s="29"/>
      <c r="AL477" s="27"/>
      <c r="AM477" s="27"/>
      <c r="AN477" s="27"/>
      <c r="AO477" s="27"/>
      <c r="AP477" s="27"/>
      <c r="AY477" s="27"/>
      <c r="AZ477" s="27"/>
      <c r="BA477" s="27"/>
      <c r="BB477" s="27"/>
      <c r="BC477" s="28"/>
      <c r="BD477" s="29"/>
      <c r="BE477" s="29"/>
      <c r="BF477" s="27"/>
      <c r="BG477" s="27"/>
      <c r="BH477" s="27"/>
      <c r="BI477" s="27"/>
      <c r="BJ477" s="27"/>
      <c r="BK477" s="27"/>
      <c r="BL477" s="27"/>
      <c r="BM477" s="27"/>
    </row>
    <row r="478">
      <c r="I478" s="27"/>
      <c r="J478" s="27"/>
      <c r="K478" s="27"/>
      <c r="L478" s="27"/>
      <c r="M478" s="28"/>
      <c r="N478" s="29"/>
      <c r="O478" s="29"/>
      <c r="P478" s="29"/>
      <c r="Q478" s="27"/>
      <c r="R478" s="27"/>
      <c r="S478" s="27"/>
      <c r="T478" s="27"/>
      <c r="U478" s="27"/>
      <c r="V478" s="27"/>
      <c r="AE478" s="27"/>
      <c r="AF478" s="27"/>
      <c r="AG478" s="27"/>
      <c r="AH478" s="27"/>
      <c r="AI478" s="28"/>
      <c r="AJ478" s="29"/>
      <c r="AK478" s="29"/>
      <c r="AL478" s="27"/>
      <c r="AM478" s="27"/>
      <c r="AN478" s="27"/>
      <c r="AO478" s="27"/>
      <c r="AP478" s="27"/>
      <c r="AY478" s="27"/>
      <c r="AZ478" s="27"/>
      <c r="BA478" s="27"/>
      <c r="BB478" s="27"/>
      <c r="BC478" s="28"/>
      <c r="BD478" s="29"/>
      <c r="BE478" s="29"/>
      <c r="BF478" s="27"/>
      <c r="BG478" s="27"/>
      <c r="BH478" s="27"/>
      <c r="BI478" s="27"/>
      <c r="BJ478" s="27"/>
      <c r="BK478" s="27"/>
      <c r="BL478" s="27"/>
      <c r="BM478" s="27"/>
    </row>
    <row r="479">
      <c r="I479" s="27"/>
      <c r="J479" s="27"/>
      <c r="K479" s="27"/>
      <c r="L479" s="27"/>
      <c r="M479" s="28"/>
      <c r="N479" s="29"/>
      <c r="O479" s="29"/>
      <c r="P479" s="29"/>
      <c r="Q479" s="27"/>
      <c r="R479" s="27"/>
      <c r="S479" s="27"/>
      <c r="T479" s="27"/>
      <c r="U479" s="27"/>
      <c r="V479" s="27"/>
      <c r="AE479" s="27"/>
      <c r="AF479" s="27"/>
      <c r="AG479" s="27"/>
      <c r="AH479" s="27"/>
      <c r="AI479" s="28"/>
      <c r="AJ479" s="29"/>
      <c r="AK479" s="29"/>
      <c r="AL479" s="27"/>
      <c r="AM479" s="27"/>
      <c r="AN479" s="27"/>
      <c r="AO479" s="27"/>
      <c r="AP479" s="27"/>
      <c r="AY479" s="27"/>
      <c r="AZ479" s="27"/>
      <c r="BA479" s="27"/>
      <c r="BB479" s="27"/>
      <c r="BC479" s="28"/>
      <c r="BD479" s="29"/>
      <c r="BE479" s="29"/>
      <c r="BF479" s="27"/>
      <c r="BG479" s="27"/>
      <c r="BH479" s="27"/>
      <c r="BI479" s="27"/>
      <c r="BJ479" s="27"/>
      <c r="BK479" s="27"/>
      <c r="BL479" s="27"/>
      <c r="BM479" s="27"/>
    </row>
    <row r="480">
      <c r="I480" s="27"/>
      <c r="J480" s="27"/>
      <c r="K480" s="27"/>
      <c r="L480" s="27"/>
      <c r="M480" s="28"/>
      <c r="N480" s="29"/>
      <c r="O480" s="29"/>
      <c r="P480" s="29"/>
      <c r="Q480" s="27"/>
      <c r="R480" s="27"/>
      <c r="S480" s="27"/>
      <c r="T480" s="27"/>
      <c r="U480" s="27"/>
      <c r="V480" s="27"/>
      <c r="AE480" s="27"/>
      <c r="AF480" s="27"/>
      <c r="AG480" s="27"/>
      <c r="AH480" s="27"/>
      <c r="AI480" s="28"/>
      <c r="AJ480" s="29"/>
      <c r="AK480" s="29"/>
      <c r="AL480" s="27"/>
      <c r="AM480" s="27"/>
      <c r="AN480" s="27"/>
      <c r="AO480" s="27"/>
      <c r="AP480" s="27"/>
      <c r="AY480" s="27"/>
      <c r="AZ480" s="27"/>
      <c r="BA480" s="27"/>
      <c r="BB480" s="27"/>
      <c r="BC480" s="28"/>
      <c r="BD480" s="29"/>
      <c r="BE480" s="29"/>
      <c r="BF480" s="27"/>
      <c r="BG480" s="27"/>
      <c r="BH480" s="27"/>
      <c r="BI480" s="27"/>
      <c r="BJ480" s="27"/>
      <c r="BK480" s="27"/>
      <c r="BL480" s="27"/>
      <c r="BM480" s="27"/>
    </row>
    <row r="481">
      <c r="I481" s="27"/>
      <c r="J481" s="27"/>
      <c r="K481" s="27"/>
      <c r="L481" s="27"/>
      <c r="M481" s="28"/>
      <c r="N481" s="29"/>
      <c r="O481" s="29"/>
      <c r="P481" s="29"/>
      <c r="Q481" s="27"/>
      <c r="R481" s="27"/>
      <c r="S481" s="27"/>
      <c r="T481" s="27"/>
      <c r="U481" s="27"/>
      <c r="V481" s="27"/>
      <c r="AE481" s="27"/>
      <c r="AF481" s="27"/>
      <c r="AG481" s="27"/>
      <c r="AH481" s="27"/>
      <c r="AI481" s="28"/>
      <c r="AJ481" s="29"/>
      <c r="AK481" s="29"/>
      <c r="AL481" s="27"/>
      <c r="AM481" s="27"/>
      <c r="AN481" s="27"/>
      <c r="AO481" s="27"/>
      <c r="AP481" s="27"/>
      <c r="AY481" s="27"/>
      <c r="AZ481" s="27"/>
      <c r="BA481" s="27"/>
      <c r="BB481" s="27"/>
      <c r="BC481" s="28"/>
      <c r="BD481" s="29"/>
      <c r="BE481" s="29"/>
      <c r="BF481" s="27"/>
      <c r="BG481" s="27"/>
      <c r="BH481" s="27"/>
      <c r="BI481" s="27"/>
      <c r="BJ481" s="27"/>
      <c r="BK481" s="27"/>
      <c r="BL481" s="27"/>
      <c r="BM481" s="27"/>
    </row>
    <row r="482">
      <c r="I482" s="27"/>
      <c r="J482" s="27"/>
      <c r="K482" s="27"/>
      <c r="L482" s="27"/>
      <c r="M482" s="28"/>
      <c r="N482" s="29"/>
      <c r="O482" s="29"/>
      <c r="P482" s="29"/>
      <c r="Q482" s="27"/>
      <c r="R482" s="27"/>
      <c r="S482" s="27"/>
      <c r="T482" s="27"/>
      <c r="U482" s="27"/>
      <c r="V482" s="27"/>
      <c r="AE482" s="27"/>
      <c r="AF482" s="27"/>
      <c r="AG482" s="27"/>
      <c r="AH482" s="27"/>
      <c r="AI482" s="28"/>
      <c r="AJ482" s="29"/>
      <c r="AK482" s="29"/>
      <c r="AL482" s="27"/>
      <c r="AM482" s="27"/>
      <c r="AN482" s="27"/>
      <c r="AO482" s="27"/>
      <c r="AP482" s="27"/>
      <c r="AY482" s="27"/>
      <c r="AZ482" s="27"/>
      <c r="BA482" s="27"/>
      <c r="BB482" s="27"/>
      <c r="BC482" s="28"/>
      <c r="BD482" s="29"/>
      <c r="BE482" s="29"/>
      <c r="BF482" s="27"/>
      <c r="BG482" s="27"/>
      <c r="BH482" s="27"/>
      <c r="BI482" s="27"/>
      <c r="BJ482" s="27"/>
      <c r="BK482" s="27"/>
      <c r="BL482" s="27"/>
      <c r="BM482" s="27"/>
    </row>
    <row r="483">
      <c r="I483" s="27"/>
      <c r="J483" s="27"/>
      <c r="K483" s="27"/>
      <c r="L483" s="27"/>
      <c r="M483" s="28"/>
      <c r="N483" s="29"/>
      <c r="O483" s="29"/>
      <c r="P483" s="29"/>
      <c r="Q483" s="27"/>
      <c r="R483" s="27"/>
      <c r="S483" s="27"/>
      <c r="T483" s="27"/>
      <c r="U483" s="27"/>
      <c r="V483" s="27"/>
      <c r="AE483" s="27"/>
      <c r="AF483" s="27"/>
      <c r="AG483" s="27"/>
      <c r="AH483" s="27"/>
      <c r="AI483" s="28"/>
      <c r="AJ483" s="29"/>
      <c r="AK483" s="29"/>
      <c r="AL483" s="27"/>
      <c r="AM483" s="27"/>
      <c r="AN483" s="27"/>
      <c r="AO483" s="27"/>
      <c r="AP483" s="27"/>
      <c r="AY483" s="27"/>
      <c r="AZ483" s="27"/>
      <c r="BA483" s="27"/>
      <c r="BB483" s="27"/>
      <c r="BC483" s="28"/>
      <c r="BD483" s="29"/>
      <c r="BE483" s="29"/>
      <c r="BF483" s="27"/>
      <c r="BG483" s="27"/>
      <c r="BH483" s="27"/>
      <c r="BI483" s="27"/>
      <c r="BJ483" s="27"/>
      <c r="BK483" s="27"/>
      <c r="BL483" s="27"/>
      <c r="BM483" s="27"/>
    </row>
    <row r="484">
      <c r="I484" s="27"/>
      <c r="J484" s="27"/>
      <c r="K484" s="27"/>
      <c r="L484" s="27"/>
      <c r="M484" s="28"/>
      <c r="N484" s="29"/>
      <c r="O484" s="29"/>
      <c r="P484" s="29"/>
      <c r="Q484" s="27"/>
      <c r="R484" s="27"/>
      <c r="S484" s="27"/>
      <c r="T484" s="27"/>
      <c r="U484" s="27"/>
      <c r="V484" s="27"/>
      <c r="AE484" s="27"/>
      <c r="AF484" s="27"/>
      <c r="AG484" s="27"/>
      <c r="AH484" s="27"/>
      <c r="AI484" s="28"/>
      <c r="AJ484" s="29"/>
      <c r="AK484" s="29"/>
      <c r="AL484" s="27"/>
      <c r="AM484" s="27"/>
      <c r="AN484" s="27"/>
      <c r="AO484" s="27"/>
      <c r="AP484" s="27"/>
      <c r="AY484" s="27"/>
      <c r="AZ484" s="27"/>
      <c r="BA484" s="27"/>
      <c r="BB484" s="27"/>
      <c r="BC484" s="28"/>
      <c r="BD484" s="29"/>
      <c r="BE484" s="29"/>
      <c r="BF484" s="27"/>
      <c r="BG484" s="27"/>
      <c r="BH484" s="27"/>
      <c r="BI484" s="27"/>
      <c r="BJ484" s="27"/>
      <c r="BK484" s="27"/>
      <c r="BL484" s="27"/>
      <c r="BM484" s="27"/>
    </row>
    <row r="485">
      <c r="I485" s="27"/>
      <c r="J485" s="27"/>
      <c r="K485" s="27"/>
      <c r="L485" s="27"/>
      <c r="M485" s="28"/>
      <c r="N485" s="29"/>
      <c r="O485" s="29"/>
      <c r="P485" s="29"/>
      <c r="Q485" s="27"/>
      <c r="R485" s="27"/>
      <c r="S485" s="27"/>
      <c r="T485" s="27"/>
      <c r="U485" s="27"/>
      <c r="V485" s="27"/>
      <c r="AE485" s="27"/>
      <c r="AF485" s="27"/>
      <c r="AG485" s="27"/>
      <c r="AH485" s="27"/>
      <c r="AI485" s="28"/>
      <c r="AJ485" s="29"/>
      <c r="AK485" s="29"/>
      <c r="AL485" s="27"/>
      <c r="AM485" s="27"/>
      <c r="AN485" s="27"/>
      <c r="AO485" s="27"/>
      <c r="AP485" s="27"/>
      <c r="AY485" s="27"/>
      <c r="AZ485" s="27"/>
      <c r="BA485" s="27"/>
      <c r="BB485" s="27"/>
      <c r="BC485" s="28"/>
      <c r="BD485" s="29"/>
      <c r="BE485" s="29"/>
      <c r="BF485" s="27"/>
      <c r="BG485" s="27"/>
      <c r="BH485" s="27"/>
      <c r="BI485" s="27"/>
      <c r="BJ485" s="27"/>
      <c r="BK485" s="27"/>
      <c r="BL485" s="27"/>
      <c r="BM485" s="27"/>
    </row>
    <row r="486">
      <c r="I486" s="27"/>
      <c r="J486" s="27"/>
      <c r="K486" s="27"/>
      <c r="L486" s="27"/>
      <c r="M486" s="28"/>
      <c r="N486" s="29"/>
      <c r="O486" s="29"/>
      <c r="P486" s="29"/>
      <c r="Q486" s="27"/>
      <c r="R486" s="27"/>
      <c r="S486" s="27"/>
      <c r="T486" s="27"/>
      <c r="U486" s="27"/>
      <c r="V486" s="27"/>
      <c r="AE486" s="27"/>
      <c r="AF486" s="27"/>
      <c r="AG486" s="27"/>
      <c r="AH486" s="27"/>
      <c r="AI486" s="28"/>
      <c r="AJ486" s="29"/>
      <c r="AK486" s="29"/>
      <c r="AL486" s="27"/>
      <c r="AM486" s="27"/>
      <c r="AN486" s="27"/>
      <c r="AO486" s="27"/>
      <c r="AP486" s="27"/>
      <c r="AY486" s="27"/>
      <c r="AZ486" s="27"/>
      <c r="BA486" s="27"/>
      <c r="BB486" s="27"/>
      <c r="BC486" s="28"/>
      <c r="BD486" s="29"/>
      <c r="BE486" s="29"/>
      <c r="BF486" s="27"/>
      <c r="BG486" s="27"/>
      <c r="BH486" s="27"/>
      <c r="BI486" s="27"/>
      <c r="BJ486" s="27"/>
      <c r="BK486" s="27"/>
      <c r="BL486" s="27"/>
      <c r="BM486" s="27"/>
    </row>
    <row r="487">
      <c r="I487" s="27"/>
      <c r="J487" s="27"/>
      <c r="K487" s="27"/>
      <c r="L487" s="27"/>
      <c r="M487" s="28"/>
      <c r="N487" s="29"/>
      <c r="O487" s="29"/>
      <c r="P487" s="29"/>
      <c r="Q487" s="27"/>
      <c r="R487" s="27"/>
      <c r="S487" s="27"/>
      <c r="T487" s="27"/>
      <c r="U487" s="27"/>
      <c r="V487" s="27"/>
      <c r="AE487" s="27"/>
      <c r="AF487" s="27"/>
      <c r="AG487" s="27"/>
      <c r="AH487" s="27"/>
      <c r="AI487" s="28"/>
      <c r="AJ487" s="29"/>
      <c r="AK487" s="29"/>
      <c r="AL487" s="27"/>
      <c r="AM487" s="27"/>
      <c r="AN487" s="27"/>
      <c r="AO487" s="27"/>
      <c r="AP487" s="27"/>
      <c r="AY487" s="27"/>
      <c r="AZ487" s="27"/>
      <c r="BA487" s="27"/>
      <c r="BB487" s="27"/>
      <c r="BC487" s="28"/>
      <c r="BD487" s="29"/>
      <c r="BE487" s="29"/>
      <c r="BF487" s="27"/>
      <c r="BG487" s="27"/>
      <c r="BH487" s="27"/>
      <c r="BI487" s="27"/>
      <c r="BJ487" s="27"/>
      <c r="BK487" s="27"/>
      <c r="BL487" s="27"/>
      <c r="BM487" s="27"/>
    </row>
    <row r="488">
      <c r="I488" s="27"/>
      <c r="J488" s="27"/>
      <c r="K488" s="27"/>
      <c r="L488" s="27"/>
      <c r="M488" s="28"/>
      <c r="N488" s="29"/>
      <c r="O488" s="29"/>
      <c r="P488" s="29"/>
      <c r="Q488" s="27"/>
      <c r="R488" s="27"/>
      <c r="S488" s="27"/>
      <c r="T488" s="27"/>
      <c r="U488" s="27"/>
      <c r="V488" s="27"/>
      <c r="AE488" s="27"/>
      <c r="AF488" s="27"/>
      <c r="AG488" s="27"/>
      <c r="AH488" s="27"/>
      <c r="AI488" s="28"/>
      <c r="AJ488" s="29"/>
      <c r="AK488" s="29"/>
      <c r="AL488" s="27"/>
      <c r="AM488" s="27"/>
      <c r="AN488" s="27"/>
      <c r="AO488" s="27"/>
      <c r="AP488" s="27"/>
      <c r="AY488" s="27"/>
      <c r="AZ488" s="27"/>
      <c r="BA488" s="27"/>
      <c r="BB488" s="27"/>
      <c r="BC488" s="28"/>
      <c r="BD488" s="29"/>
      <c r="BE488" s="29"/>
      <c r="BF488" s="27"/>
      <c r="BG488" s="27"/>
      <c r="BH488" s="27"/>
      <c r="BI488" s="27"/>
      <c r="BJ488" s="27"/>
      <c r="BK488" s="27"/>
      <c r="BL488" s="27"/>
      <c r="BM488" s="27"/>
    </row>
    <row r="489">
      <c r="I489" s="27"/>
      <c r="J489" s="27"/>
      <c r="K489" s="27"/>
      <c r="L489" s="27"/>
      <c r="M489" s="28"/>
      <c r="N489" s="29"/>
      <c r="O489" s="29"/>
      <c r="P489" s="29"/>
      <c r="Q489" s="27"/>
      <c r="R489" s="27"/>
      <c r="S489" s="27"/>
      <c r="T489" s="27"/>
      <c r="U489" s="27"/>
      <c r="V489" s="27"/>
      <c r="AE489" s="27"/>
      <c r="AF489" s="27"/>
      <c r="AG489" s="27"/>
      <c r="AH489" s="27"/>
      <c r="AI489" s="28"/>
      <c r="AJ489" s="29"/>
      <c r="AK489" s="29"/>
      <c r="AL489" s="27"/>
      <c r="AM489" s="27"/>
      <c r="AN489" s="27"/>
      <c r="AO489" s="27"/>
      <c r="AP489" s="27"/>
      <c r="AY489" s="27"/>
      <c r="AZ489" s="27"/>
      <c r="BA489" s="27"/>
      <c r="BB489" s="27"/>
      <c r="BC489" s="28"/>
      <c r="BD489" s="29"/>
      <c r="BE489" s="29"/>
      <c r="BF489" s="27"/>
      <c r="BG489" s="27"/>
      <c r="BH489" s="27"/>
      <c r="BI489" s="27"/>
      <c r="BJ489" s="27"/>
      <c r="BK489" s="27"/>
      <c r="BL489" s="27"/>
      <c r="BM489" s="27"/>
    </row>
    <row r="490">
      <c r="I490" s="27"/>
      <c r="J490" s="27"/>
      <c r="K490" s="27"/>
      <c r="L490" s="27"/>
      <c r="M490" s="28"/>
      <c r="N490" s="29"/>
      <c r="O490" s="29"/>
      <c r="P490" s="29"/>
      <c r="Q490" s="27"/>
      <c r="R490" s="27"/>
      <c r="S490" s="27"/>
      <c r="T490" s="27"/>
      <c r="U490" s="27"/>
      <c r="V490" s="27"/>
      <c r="AE490" s="27"/>
      <c r="AF490" s="27"/>
      <c r="AG490" s="27"/>
      <c r="AH490" s="27"/>
      <c r="AI490" s="28"/>
      <c r="AJ490" s="29"/>
      <c r="AK490" s="29"/>
      <c r="AL490" s="27"/>
      <c r="AM490" s="27"/>
      <c r="AN490" s="27"/>
      <c r="AO490" s="27"/>
      <c r="AP490" s="27"/>
      <c r="AY490" s="27"/>
      <c r="AZ490" s="27"/>
      <c r="BA490" s="27"/>
      <c r="BB490" s="27"/>
      <c r="BC490" s="28"/>
      <c r="BD490" s="29"/>
      <c r="BE490" s="29"/>
      <c r="BF490" s="27"/>
      <c r="BG490" s="27"/>
      <c r="BH490" s="27"/>
      <c r="BI490" s="27"/>
      <c r="BJ490" s="27"/>
      <c r="BK490" s="27"/>
      <c r="BL490" s="27"/>
      <c r="BM490" s="27"/>
    </row>
    <row r="491">
      <c r="I491" s="27"/>
      <c r="J491" s="27"/>
      <c r="K491" s="27"/>
      <c r="L491" s="27"/>
      <c r="M491" s="28"/>
      <c r="N491" s="29"/>
      <c r="O491" s="29"/>
      <c r="P491" s="29"/>
      <c r="Q491" s="27"/>
      <c r="R491" s="27"/>
      <c r="S491" s="27"/>
      <c r="T491" s="27"/>
      <c r="U491" s="27"/>
      <c r="V491" s="27"/>
      <c r="AE491" s="27"/>
      <c r="AF491" s="27"/>
      <c r="AG491" s="27"/>
      <c r="AH491" s="27"/>
      <c r="AI491" s="28"/>
      <c r="AJ491" s="29"/>
      <c r="AK491" s="29"/>
      <c r="AL491" s="27"/>
      <c r="AM491" s="27"/>
      <c r="AN491" s="27"/>
      <c r="AO491" s="27"/>
      <c r="AP491" s="27"/>
      <c r="AY491" s="27"/>
      <c r="AZ491" s="27"/>
      <c r="BA491" s="27"/>
      <c r="BB491" s="27"/>
      <c r="BC491" s="28"/>
      <c r="BD491" s="29"/>
      <c r="BE491" s="29"/>
      <c r="BF491" s="27"/>
      <c r="BG491" s="27"/>
      <c r="BH491" s="27"/>
      <c r="BI491" s="27"/>
      <c r="BJ491" s="27"/>
      <c r="BK491" s="27"/>
      <c r="BL491" s="27"/>
      <c r="BM491" s="27"/>
    </row>
    <row r="492">
      <c r="I492" s="27"/>
      <c r="J492" s="27"/>
      <c r="K492" s="27"/>
      <c r="L492" s="27"/>
      <c r="M492" s="28"/>
      <c r="N492" s="29"/>
      <c r="O492" s="29"/>
      <c r="P492" s="29"/>
      <c r="Q492" s="27"/>
      <c r="R492" s="27"/>
      <c r="S492" s="27"/>
      <c r="T492" s="27"/>
      <c r="U492" s="27"/>
      <c r="V492" s="27"/>
      <c r="AE492" s="27"/>
      <c r="AF492" s="27"/>
      <c r="AG492" s="27"/>
      <c r="AH492" s="27"/>
      <c r="AI492" s="28"/>
      <c r="AJ492" s="29"/>
      <c r="AK492" s="29"/>
      <c r="AL492" s="27"/>
      <c r="AM492" s="27"/>
      <c r="AN492" s="27"/>
      <c r="AO492" s="27"/>
      <c r="AP492" s="27"/>
      <c r="AY492" s="27"/>
      <c r="AZ492" s="27"/>
      <c r="BA492" s="27"/>
      <c r="BB492" s="27"/>
      <c r="BC492" s="28"/>
      <c r="BD492" s="29"/>
      <c r="BE492" s="29"/>
      <c r="BF492" s="27"/>
      <c r="BG492" s="27"/>
      <c r="BH492" s="27"/>
      <c r="BI492" s="27"/>
      <c r="BJ492" s="27"/>
      <c r="BK492" s="27"/>
      <c r="BL492" s="27"/>
      <c r="BM492" s="27"/>
    </row>
    <row r="493">
      <c r="I493" s="27"/>
      <c r="J493" s="27"/>
      <c r="K493" s="27"/>
      <c r="L493" s="27"/>
      <c r="M493" s="28"/>
      <c r="N493" s="29"/>
      <c r="O493" s="29"/>
      <c r="P493" s="29"/>
      <c r="Q493" s="27"/>
      <c r="R493" s="27"/>
      <c r="S493" s="27"/>
      <c r="T493" s="27"/>
      <c r="U493" s="27"/>
      <c r="V493" s="27"/>
      <c r="AE493" s="27"/>
      <c r="AF493" s="27"/>
      <c r="AG493" s="27"/>
      <c r="AH493" s="27"/>
      <c r="AI493" s="28"/>
      <c r="AJ493" s="29"/>
      <c r="AK493" s="29"/>
      <c r="AL493" s="27"/>
      <c r="AM493" s="27"/>
      <c r="AN493" s="27"/>
      <c r="AO493" s="27"/>
      <c r="AP493" s="27"/>
      <c r="AY493" s="27"/>
      <c r="AZ493" s="27"/>
      <c r="BA493" s="27"/>
      <c r="BB493" s="27"/>
      <c r="BC493" s="28"/>
      <c r="BD493" s="29"/>
      <c r="BE493" s="29"/>
      <c r="BF493" s="27"/>
      <c r="BG493" s="27"/>
      <c r="BH493" s="27"/>
      <c r="BI493" s="27"/>
      <c r="BJ493" s="27"/>
      <c r="BK493" s="27"/>
      <c r="BL493" s="27"/>
      <c r="BM493" s="27"/>
    </row>
    <row r="494">
      <c r="I494" s="27"/>
      <c r="J494" s="27"/>
      <c r="K494" s="27"/>
      <c r="L494" s="27"/>
      <c r="M494" s="28"/>
      <c r="N494" s="29"/>
      <c r="O494" s="29"/>
      <c r="P494" s="29"/>
      <c r="Q494" s="27"/>
      <c r="R494" s="27"/>
      <c r="S494" s="27"/>
      <c r="T494" s="27"/>
      <c r="U494" s="27"/>
      <c r="V494" s="27"/>
      <c r="AE494" s="27"/>
      <c r="AF494" s="27"/>
      <c r="AG494" s="27"/>
      <c r="AH494" s="27"/>
      <c r="AI494" s="28"/>
      <c r="AJ494" s="29"/>
      <c r="AK494" s="29"/>
      <c r="AL494" s="27"/>
      <c r="AM494" s="27"/>
      <c r="AN494" s="27"/>
      <c r="AO494" s="27"/>
      <c r="AP494" s="27"/>
      <c r="AY494" s="27"/>
      <c r="AZ494" s="27"/>
      <c r="BA494" s="27"/>
      <c r="BB494" s="27"/>
      <c r="BC494" s="28"/>
      <c r="BD494" s="29"/>
      <c r="BE494" s="29"/>
      <c r="BF494" s="27"/>
      <c r="BG494" s="27"/>
      <c r="BH494" s="27"/>
      <c r="BI494" s="27"/>
      <c r="BJ494" s="27"/>
      <c r="BK494" s="27"/>
      <c r="BL494" s="27"/>
      <c r="BM494" s="27"/>
    </row>
    <row r="495">
      <c r="I495" s="27"/>
      <c r="J495" s="27"/>
      <c r="K495" s="27"/>
      <c r="L495" s="27"/>
      <c r="M495" s="28"/>
      <c r="N495" s="29"/>
      <c r="O495" s="29"/>
      <c r="P495" s="29"/>
      <c r="Q495" s="27"/>
      <c r="R495" s="27"/>
      <c r="S495" s="27"/>
      <c r="T495" s="27"/>
      <c r="U495" s="27"/>
      <c r="V495" s="27"/>
      <c r="AE495" s="27"/>
      <c r="AF495" s="27"/>
      <c r="AG495" s="27"/>
      <c r="AH495" s="27"/>
      <c r="AI495" s="28"/>
      <c r="AJ495" s="29"/>
      <c r="AK495" s="29"/>
      <c r="AL495" s="27"/>
      <c r="AM495" s="27"/>
      <c r="AN495" s="27"/>
      <c r="AO495" s="27"/>
      <c r="AP495" s="27"/>
      <c r="AY495" s="27"/>
      <c r="AZ495" s="27"/>
      <c r="BA495" s="27"/>
      <c r="BB495" s="27"/>
      <c r="BC495" s="28"/>
      <c r="BD495" s="29"/>
      <c r="BE495" s="29"/>
      <c r="BF495" s="27"/>
      <c r="BG495" s="27"/>
      <c r="BH495" s="27"/>
      <c r="BI495" s="27"/>
      <c r="BJ495" s="27"/>
      <c r="BK495" s="27"/>
      <c r="BL495" s="27"/>
      <c r="BM495" s="27"/>
    </row>
    <row r="496">
      <c r="I496" s="27"/>
      <c r="J496" s="27"/>
      <c r="K496" s="27"/>
      <c r="L496" s="27"/>
      <c r="M496" s="28"/>
      <c r="N496" s="29"/>
      <c r="O496" s="29"/>
      <c r="P496" s="29"/>
      <c r="Q496" s="27"/>
      <c r="R496" s="27"/>
      <c r="S496" s="27"/>
      <c r="T496" s="27"/>
      <c r="U496" s="27"/>
      <c r="V496" s="27"/>
      <c r="AE496" s="27"/>
      <c r="AF496" s="27"/>
      <c r="AG496" s="27"/>
      <c r="AH496" s="27"/>
      <c r="AI496" s="28"/>
      <c r="AJ496" s="29"/>
      <c r="AK496" s="29"/>
      <c r="AL496" s="27"/>
      <c r="AM496" s="27"/>
      <c r="AN496" s="27"/>
      <c r="AO496" s="27"/>
      <c r="AP496" s="27"/>
      <c r="AY496" s="27"/>
      <c r="AZ496" s="27"/>
      <c r="BA496" s="27"/>
      <c r="BB496" s="27"/>
      <c r="BC496" s="28"/>
      <c r="BD496" s="29"/>
      <c r="BE496" s="29"/>
      <c r="BF496" s="27"/>
      <c r="BG496" s="27"/>
      <c r="BH496" s="27"/>
      <c r="BI496" s="27"/>
      <c r="BJ496" s="27"/>
      <c r="BK496" s="27"/>
      <c r="BL496" s="27"/>
      <c r="BM496" s="27"/>
    </row>
    <row r="497">
      <c r="I497" s="27"/>
      <c r="J497" s="27"/>
      <c r="K497" s="27"/>
      <c r="L497" s="27"/>
      <c r="M497" s="28"/>
      <c r="N497" s="29"/>
      <c r="O497" s="29"/>
      <c r="P497" s="29"/>
      <c r="Q497" s="27"/>
      <c r="R497" s="27"/>
      <c r="S497" s="27"/>
      <c r="T497" s="27"/>
      <c r="U497" s="27"/>
      <c r="V497" s="27"/>
      <c r="AE497" s="27"/>
      <c r="AF497" s="27"/>
      <c r="AG497" s="27"/>
      <c r="AH497" s="27"/>
      <c r="AI497" s="28"/>
      <c r="AJ497" s="29"/>
      <c r="AK497" s="29"/>
      <c r="AL497" s="27"/>
      <c r="AM497" s="27"/>
      <c r="AN497" s="27"/>
      <c r="AO497" s="27"/>
      <c r="AP497" s="27"/>
      <c r="AY497" s="27"/>
      <c r="AZ497" s="27"/>
      <c r="BA497" s="27"/>
      <c r="BB497" s="27"/>
      <c r="BC497" s="28"/>
      <c r="BD497" s="29"/>
      <c r="BE497" s="29"/>
      <c r="BF497" s="27"/>
      <c r="BG497" s="27"/>
      <c r="BH497" s="27"/>
      <c r="BI497" s="27"/>
      <c r="BJ497" s="27"/>
      <c r="BK497" s="27"/>
      <c r="BL497" s="27"/>
      <c r="BM497" s="27"/>
    </row>
    <row r="498">
      <c r="I498" s="27"/>
      <c r="J498" s="27"/>
      <c r="K498" s="27"/>
      <c r="L498" s="27"/>
      <c r="M498" s="28"/>
      <c r="N498" s="29"/>
      <c r="O498" s="29"/>
      <c r="P498" s="29"/>
      <c r="Q498" s="27"/>
      <c r="R498" s="27"/>
      <c r="S498" s="27"/>
      <c r="T498" s="27"/>
      <c r="U498" s="27"/>
      <c r="V498" s="27"/>
      <c r="AE498" s="27"/>
      <c r="AF498" s="27"/>
      <c r="AG498" s="27"/>
      <c r="AH498" s="27"/>
      <c r="AI498" s="28"/>
      <c r="AJ498" s="29"/>
      <c r="AK498" s="29"/>
      <c r="AL498" s="27"/>
      <c r="AM498" s="27"/>
      <c r="AN498" s="27"/>
      <c r="AO498" s="27"/>
      <c r="AP498" s="27"/>
      <c r="AY498" s="27"/>
      <c r="AZ498" s="27"/>
      <c r="BA498" s="27"/>
      <c r="BB498" s="27"/>
      <c r="BC498" s="28"/>
      <c r="BD498" s="29"/>
      <c r="BE498" s="29"/>
      <c r="BF498" s="27"/>
      <c r="BG498" s="27"/>
      <c r="BH498" s="27"/>
      <c r="BI498" s="27"/>
      <c r="BJ498" s="27"/>
      <c r="BK498" s="27"/>
      <c r="BL498" s="27"/>
      <c r="BM498" s="27"/>
    </row>
    <row r="499">
      <c r="I499" s="27"/>
      <c r="J499" s="27"/>
      <c r="K499" s="27"/>
      <c r="L499" s="27"/>
      <c r="M499" s="28"/>
      <c r="N499" s="29"/>
      <c r="O499" s="29"/>
      <c r="P499" s="29"/>
      <c r="Q499" s="27"/>
      <c r="R499" s="27"/>
      <c r="S499" s="27"/>
      <c r="T499" s="27"/>
      <c r="U499" s="27"/>
      <c r="V499" s="27"/>
      <c r="AE499" s="27"/>
      <c r="AF499" s="27"/>
      <c r="AG499" s="27"/>
      <c r="AH499" s="27"/>
      <c r="AI499" s="28"/>
      <c r="AJ499" s="29"/>
      <c r="AK499" s="29"/>
      <c r="AL499" s="27"/>
      <c r="AM499" s="27"/>
      <c r="AN499" s="27"/>
      <c r="AO499" s="27"/>
      <c r="AP499" s="27"/>
      <c r="AY499" s="27"/>
      <c r="AZ499" s="27"/>
      <c r="BA499" s="27"/>
      <c r="BB499" s="27"/>
      <c r="BC499" s="28"/>
      <c r="BD499" s="29"/>
      <c r="BE499" s="29"/>
      <c r="BF499" s="27"/>
      <c r="BG499" s="27"/>
      <c r="BH499" s="27"/>
      <c r="BI499" s="27"/>
      <c r="BJ499" s="27"/>
      <c r="BK499" s="27"/>
      <c r="BL499" s="27"/>
      <c r="BM499" s="27"/>
    </row>
    <row r="500">
      <c r="I500" s="27"/>
      <c r="J500" s="27"/>
      <c r="K500" s="27"/>
      <c r="L500" s="27"/>
      <c r="M500" s="28"/>
      <c r="N500" s="29"/>
      <c r="O500" s="29"/>
      <c r="P500" s="29"/>
      <c r="Q500" s="27"/>
      <c r="R500" s="27"/>
      <c r="S500" s="27"/>
      <c r="T500" s="27"/>
      <c r="U500" s="27"/>
      <c r="V500" s="27"/>
      <c r="AE500" s="27"/>
      <c r="AF500" s="27"/>
      <c r="AG500" s="27"/>
      <c r="AH500" s="27"/>
      <c r="AI500" s="28"/>
      <c r="AJ500" s="29"/>
      <c r="AK500" s="29"/>
      <c r="AL500" s="27"/>
      <c r="AM500" s="27"/>
      <c r="AN500" s="27"/>
      <c r="AO500" s="27"/>
      <c r="AP500" s="27"/>
      <c r="AY500" s="27"/>
      <c r="AZ500" s="27"/>
      <c r="BA500" s="27"/>
      <c r="BB500" s="27"/>
      <c r="BC500" s="28"/>
      <c r="BD500" s="29"/>
      <c r="BE500" s="29"/>
      <c r="BF500" s="27"/>
      <c r="BG500" s="27"/>
      <c r="BH500" s="27"/>
      <c r="BI500" s="27"/>
      <c r="BJ500" s="27"/>
      <c r="BK500" s="27"/>
      <c r="BL500" s="27"/>
      <c r="BM500" s="27"/>
    </row>
    <row r="501">
      <c r="I501" s="27"/>
      <c r="J501" s="27"/>
      <c r="K501" s="27"/>
      <c r="L501" s="27"/>
      <c r="M501" s="28"/>
      <c r="N501" s="29"/>
      <c r="O501" s="29"/>
      <c r="P501" s="29"/>
      <c r="Q501" s="27"/>
      <c r="R501" s="27"/>
      <c r="S501" s="27"/>
      <c r="T501" s="27"/>
      <c r="U501" s="27"/>
      <c r="V501" s="27"/>
      <c r="AE501" s="27"/>
      <c r="AF501" s="27"/>
      <c r="AG501" s="27"/>
      <c r="AH501" s="27"/>
      <c r="AI501" s="28"/>
      <c r="AJ501" s="29"/>
      <c r="AK501" s="29"/>
      <c r="AL501" s="27"/>
      <c r="AM501" s="27"/>
      <c r="AN501" s="27"/>
      <c r="AO501" s="27"/>
      <c r="AP501" s="27"/>
      <c r="AY501" s="27"/>
      <c r="AZ501" s="27"/>
      <c r="BA501" s="27"/>
      <c r="BB501" s="27"/>
      <c r="BC501" s="28"/>
      <c r="BD501" s="29"/>
      <c r="BE501" s="29"/>
      <c r="BF501" s="27"/>
      <c r="BG501" s="27"/>
      <c r="BH501" s="27"/>
      <c r="BI501" s="27"/>
      <c r="BJ501" s="27"/>
      <c r="BK501" s="27"/>
      <c r="BL501" s="27"/>
      <c r="BM501" s="27"/>
    </row>
    <row r="502">
      <c r="I502" s="27"/>
      <c r="J502" s="27"/>
      <c r="K502" s="27"/>
      <c r="L502" s="27"/>
      <c r="M502" s="28"/>
      <c r="N502" s="29"/>
      <c r="O502" s="29"/>
      <c r="P502" s="29"/>
      <c r="Q502" s="27"/>
      <c r="R502" s="27"/>
      <c r="S502" s="27"/>
      <c r="T502" s="27"/>
      <c r="U502" s="27"/>
      <c r="V502" s="27"/>
      <c r="AE502" s="27"/>
      <c r="AF502" s="27"/>
      <c r="AG502" s="27"/>
      <c r="AH502" s="27"/>
      <c r="AI502" s="28"/>
      <c r="AJ502" s="29"/>
      <c r="AK502" s="29"/>
      <c r="AL502" s="27"/>
      <c r="AM502" s="27"/>
      <c r="AN502" s="27"/>
      <c r="AO502" s="27"/>
      <c r="AP502" s="27"/>
      <c r="AY502" s="27"/>
      <c r="AZ502" s="27"/>
      <c r="BA502" s="27"/>
      <c r="BB502" s="27"/>
      <c r="BC502" s="28"/>
      <c r="BD502" s="29"/>
      <c r="BE502" s="29"/>
      <c r="BF502" s="27"/>
      <c r="BG502" s="27"/>
      <c r="BH502" s="27"/>
      <c r="BI502" s="27"/>
      <c r="BJ502" s="27"/>
      <c r="BK502" s="27"/>
      <c r="BL502" s="27"/>
      <c r="BM502" s="27"/>
    </row>
    <row r="503">
      <c r="I503" s="27"/>
      <c r="J503" s="27"/>
      <c r="K503" s="27"/>
      <c r="L503" s="27"/>
      <c r="M503" s="28"/>
      <c r="N503" s="29"/>
      <c r="O503" s="29"/>
      <c r="P503" s="29"/>
      <c r="Q503" s="27"/>
      <c r="R503" s="27"/>
      <c r="S503" s="27"/>
      <c r="T503" s="27"/>
      <c r="U503" s="27"/>
      <c r="V503" s="27"/>
      <c r="AE503" s="27"/>
      <c r="AF503" s="27"/>
      <c r="AG503" s="27"/>
      <c r="AH503" s="27"/>
      <c r="AI503" s="28"/>
      <c r="AJ503" s="29"/>
      <c r="AK503" s="29"/>
      <c r="AL503" s="27"/>
      <c r="AM503" s="27"/>
      <c r="AN503" s="27"/>
      <c r="AO503" s="27"/>
      <c r="AP503" s="27"/>
      <c r="AY503" s="27"/>
      <c r="AZ503" s="27"/>
      <c r="BA503" s="27"/>
      <c r="BB503" s="27"/>
      <c r="BC503" s="28"/>
      <c r="BD503" s="29"/>
      <c r="BE503" s="29"/>
      <c r="BF503" s="27"/>
      <c r="BG503" s="27"/>
      <c r="BH503" s="27"/>
      <c r="BI503" s="27"/>
      <c r="BJ503" s="27"/>
      <c r="BK503" s="27"/>
      <c r="BL503" s="27"/>
      <c r="BM503" s="27"/>
    </row>
    <row r="504">
      <c r="I504" s="27"/>
      <c r="J504" s="27"/>
      <c r="K504" s="27"/>
      <c r="L504" s="27"/>
      <c r="M504" s="28"/>
      <c r="N504" s="29"/>
      <c r="O504" s="29"/>
      <c r="P504" s="29"/>
      <c r="Q504" s="27"/>
      <c r="R504" s="27"/>
      <c r="S504" s="27"/>
      <c r="T504" s="27"/>
      <c r="U504" s="27"/>
      <c r="V504" s="27"/>
      <c r="AE504" s="27"/>
      <c r="AF504" s="27"/>
      <c r="AG504" s="27"/>
      <c r="AH504" s="27"/>
      <c r="AI504" s="28"/>
      <c r="AJ504" s="29"/>
      <c r="AK504" s="29"/>
      <c r="AL504" s="27"/>
      <c r="AM504" s="27"/>
      <c r="AN504" s="27"/>
      <c r="AO504" s="27"/>
      <c r="AP504" s="27"/>
      <c r="AY504" s="27"/>
      <c r="AZ504" s="27"/>
      <c r="BA504" s="27"/>
      <c r="BB504" s="27"/>
      <c r="BC504" s="28"/>
      <c r="BD504" s="29"/>
      <c r="BE504" s="29"/>
      <c r="BF504" s="27"/>
      <c r="BG504" s="27"/>
      <c r="BH504" s="27"/>
      <c r="BI504" s="27"/>
      <c r="BJ504" s="27"/>
      <c r="BK504" s="27"/>
      <c r="BL504" s="27"/>
      <c r="BM504" s="27"/>
    </row>
    <row r="505">
      <c r="I505" s="27"/>
      <c r="J505" s="27"/>
      <c r="K505" s="27"/>
      <c r="L505" s="27"/>
      <c r="M505" s="28"/>
      <c r="N505" s="29"/>
      <c r="O505" s="29"/>
      <c r="P505" s="29"/>
      <c r="Q505" s="27"/>
      <c r="R505" s="27"/>
      <c r="S505" s="27"/>
      <c r="T505" s="27"/>
      <c r="U505" s="27"/>
      <c r="V505" s="27"/>
      <c r="AE505" s="27"/>
      <c r="AF505" s="27"/>
      <c r="AG505" s="27"/>
      <c r="AH505" s="27"/>
      <c r="AI505" s="28"/>
      <c r="AJ505" s="29"/>
      <c r="AK505" s="29"/>
      <c r="AL505" s="27"/>
      <c r="AM505" s="27"/>
      <c r="AN505" s="27"/>
      <c r="AO505" s="27"/>
      <c r="AP505" s="27"/>
      <c r="AY505" s="27"/>
      <c r="AZ505" s="27"/>
      <c r="BA505" s="27"/>
      <c r="BB505" s="27"/>
      <c r="BC505" s="28"/>
      <c r="BD505" s="29"/>
      <c r="BE505" s="29"/>
      <c r="BF505" s="27"/>
      <c r="BG505" s="27"/>
      <c r="BH505" s="27"/>
      <c r="BI505" s="27"/>
      <c r="BJ505" s="27"/>
      <c r="BK505" s="27"/>
      <c r="BL505" s="27"/>
      <c r="BM505" s="27"/>
    </row>
    <row r="506">
      <c r="I506" s="27"/>
      <c r="J506" s="27"/>
      <c r="K506" s="27"/>
      <c r="L506" s="27"/>
      <c r="M506" s="28"/>
      <c r="N506" s="29"/>
      <c r="O506" s="29"/>
      <c r="P506" s="29"/>
      <c r="Q506" s="27"/>
      <c r="R506" s="27"/>
      <c r="S506" s="27"/>
      <c r="T506" s="27"/>
      <c r="U506" s="27"/>
      <c r="V506" s="27"/>
      <c r="AE506" s="27"/>
      <c r="AF506" s="27"/>
      <c r="AG506" s="27"/>
      <c r="AH506" s="27"/>
      <c r="AI506" s="28"/>
      <c r="AJ506" s="29"/>
      <c r="AK506" s="29"/>
      <c r="AL506" s="27"/>
      <c r="AM506" s="27"/>
      <c r="AN506" s="27"/>
      <c r="AO506" s="27"/>
      <c r="AP506" s="27"/>
      <c r="AY506" s="27"/>
      <c r="AZ506" s="27"/>
      <c r="BA506" s="27"/>
      <c r="BB506" s="27"/>
      <c r="BC506" s="28"/>
      <c r="BD506" s="29"/>
      <c r="BE506" s="29"/>
      <c r="BF506" s="27"/>
      <c r="BG506" s="27"/>
      <c r="BH506" s="27"/>
      <c r="BI506" s="27"/>
      <c r="BJ506" s="27"/>
      <c r="BK506" s="27"/>
      <c r="BL506" s="27"/>
      <c r="BM506" s="27"/>
    </row>
    <row r="507">
      <c r="I507" s="27"/>
      <c r="J507" s="27"/>
      <c r="K507" s="27"/>
      <c r="L507" s="27"/>
      <c r="M507" s="28"/>
      <c r="N507" s="29"/>
      <c r="O507" s="29"/>
      <c r="P507" s="29"/>
      <c r="Q507" s="27"/>
      <c r="R507" s="27"/>
      <c r="S507" s="27"/>
      <c r="T507" s="27"/>
      <c r="U507" s="27"/>
      <c r="V507" s="27"/>
      <c r="AE507" s="27"/>
      <c r="AF507" s="27"/>
      <c r="AG507" s="27"/>
      <c r="AH507" s="27"/>
      <c r="AI507" s="28"/>
      <c r="AJ507" s="29"/>
      <c r="AK507" s="29"/>
      <c r="AL507" s="27"/>
      <c r="AM507" s="27"/>
      <c r="AN507" s="27"/>
      <c r="AO507" s="27"/>
      <c r="AP507" s="27"/>
      <c r="AY507" s="27"/>
      <c r="AZ507" s="27"/>
      <c r="BA507" s="27"/>
      <c r="BB507" s="27"/>
      <c r="BC507" s="28"/>
      <c r="BD507" s="29"/>
      <c r="BE507" s="29"/>
      <c r="BF507" s="27"/>
      <c r="BG507" s="27"/>
      <c r="BH507" s="27"/>
      <c r="BI507" s="27"/>
      <c r="BJ507" s="27"/>
      <c r="BK507" s="27"/>
      <c r="BL507" s="27"/>
      <c r="BM507" s="27"/>
    </row>
    <row r="508">
      <c r="I508" s="27"/>
      <c r="J508" s="27"/>
      <c r="K508" s="27"/>
      <c r="L508" s="27"/>
      <c r="M508" s="28"/>
      <c r="N508" s="29"/>
      <c r="O508" s="29"/>
      <c r="P508" s="29"/>
      <c r="Q508" s="27"/>
      <c r="R508" s="27"/>
      <c r="S508" s="27"/>
      <c r="T508" s="27"/>
      <c r="U508" s="27"/>
      <c r="V508" s="27"/>
      <c r="AE508" s="27"/>
      <c r="AF508" s="27"/>
      <c r="AG508" s="27"/>
      <c r="AH508" s="27"/>
      <c r="AI508" s="28"/>
      <c r="AJ508" s="29"/>
      <c r="AK508" s="29"/>
      <c r="AL508" s="27"/>
      <c r="AM508" s="27"/>
      <c r="AN508" s="27"/>
      <c r="AO508" s="27"/>
      <c r="AP508" s="27"/>
      <c r="AY508" s="27"/>
      <c r="AZ508" s="27"/>
      <c r="BA508" s="27"/>
      <c r="BB508" s="27"/>
      <c r="BC508" s="28"/>
      <c r="BD508" s="29"/>
      <c r="BE508" s="29"/>
      <c r="BF508" s="27"/>
      <c r="BG508" s="27"/>
      <c r="BH508" s="27"/>
      <c r="BI508" s="27"/>
      <c r="BJ508" s="27"/>
      <c r="BK508" s="27"/>
      <c r="BL508" s="27"/>
      <c r="BM508" s="27"/>
    </row>
    <row r="509">
      <c r="I509" s="27"/>
      <c r="J509" s="27"/>
      <c r="K509" s="27"/>
      <c r="L509" s="27"/>
      <c r="M509" s="28"/>
      <c r="N509" s="29"/>
      <c r="O509" s="29"/>
      <c r="P509" s="29"/>
      <c r="Q509" s="27"/>
      <c r="R509" s="27"/>
      <c r="S509" s="27"/>
      <c r="T509" s="27"/>
      <c r="U509" s="27"/>
      <c r="V509" s="27"/>
      <c r="AE509" s="27"/>
      <c r="AF509" s="27"/>
      <c r="AG509" s="27"/>
      <c r="AH509" s="27"/>
      <c r="AI509" s="28"/>
      <c r="AJ509" s="29"/>
      <c r="AK509" s="29"/>
      <c r="AL509" s="27"/>
      <c r="AM509" s="27"/>
      <c r="AN509" s="27"/>
      <c r="AO509" s="27"/>
      <c r="AP509" s="27"/>
      <c r="AY509" s="27"/>
      <c r="AZ509" s="27"/>
      <c r="BA509" s="27"/>
      <c r="BB509" s="27"/>
      <c r="BC509" s="28"/>
      <c r="BD509" s="29"/>
      <c r="BE509" s="29"/>
      <c r="BF509" s="27"/>
      <c r="BG509" s="27"/>
      <c r="BH509" s="27"/>
      <c r="BI509" s="27"/>
      <c r="BJ509" s="27"/>
      <c r="BK509" s="27"/>
      <c r="BL509" s="27"/>
      <c r="BM509" s="27"/>
    </row>
    <row r="510">
      <c r="I510" s="27"/>
      <c r="J510" s="27"/>
      <c r="K510" s="27"/>
      <c r="L510" s="27"/>
      <c r="M510" s="28"/>
      <c r="N510" s="29"/>
      <c r="O510" s="29"/>
      <c r="P510" s="29"/>
      <c r="Q510" s="27"/>
      <c r="R510" s="27"/>
      <c r="S510" s="27"/>
      <c r="T510" s="27"/>
      <c r="U510" s="27"/>
      <c r="V510" s="27"/>
      <c r="AE510" s="27"/>
      <c r="AF510" s="27"/>
      <c r="AG510" s="27"/>
      <c r="AH510" s="27"/>
      <c r="AI510" s="28"/>
      <c r="AJ510" s="29"/>
      <c r="AK510" s="29"/>
      <c r="AL510" s="27"/>
      <c r="AM510" s="27"/>
      <c r="AN510" s="27"/>
      <c r="AO510" s="27"/>
      <c r="AP510" s="27"/>
      <c r="AY510" s="27"/>
      <c r="AZ510" s="27"/>
      <c r="BA510" s="27"/>
      <c r="BB510" s="27"/>
      <c r="BC510" s="28"/>
      <c r="BD510" s="29"/>
      <c r="BE510" s="29"/>
      <c r="BF510" s="27"/>
      <c r="BG510" s="27"/>
      <c r="BH510" s="27"/>
      <c r="BI510" s="27"/>
      <c r="BJ510" s="27"/>
      <c r="BK510" s="27"/>
      <c r="BL510" s="27"/>
      <c r="BM510" s="27"/>
    </row>
    <row r="511">
      <c r="I511" s="27"/>
      <c r="J511" s="27"/>
      <c r="K511" s="27"/>
      <c r="L511" s="27"/>
      <c r="M511" s="28"/>
      <c r="N511" s="29"/>
      <c r="O511" s="29"/>
      <c r="P511" s="29"/>
      <c r="Q511" s="27"/>
      <c r="R511" s="27"/>
      <c r="S511" s="27"/>
      <c r="T511" s="27"/>
      <c r="U511" s="27"/>
      <c r="V511" s="27"/>
      <c r="AE511" s="27"/>
      <c r="AF511" s="27"/>
      <c r="AG511" s="27"/>
      <c r="AH511" s="27"/>
      <c r="AI511" s="28"/>
      <c r="AJ511" s="29"/>
      <c r="AK511" s="29"/>
      <c r="AL511" s="27"/>
      <c r="AM511" s="27"/>
      <c r="AN511" s="27"/>
      <c r="AO511" s="27"/>
      <c r="AP511" s="27"/>
      <c r="AY511" s="27"/>
      <c r="AZ511" s="27"/>
      <c r="BA511" s="27"/>
      <c r="BB511" s="27"/>
      <c r="BC511" s="28"/>
      <c r="BD511" s="29"/>
      <c r="BE511" s="29"/>
      <c r="BF511" s="27"/>
      <c r="BG511" s="27"/>
      <c r="BH511" s="27"/>
      <c r="BI511" s="27"/>
      <c r="BJ511" s="27"/>
      <c r="BK511" s="27"/>
      <c r="BL511" s="27"/>
      <c r="BM511" s="27"/>
    </row>
    <row r="512">
      <c r="I512" s="27"/>
      <c r="J512" s="27"/>
      <c r="K512" s="27"/>
      <c r="L512" s="27"/>
      <c r="M512" s="28"/>
      <c r="N512" s="29"/>
      <c r="O512" s="29"/>
      <c r="P512" s="29"/>
      <c r="Q512" s="27"/>
      <c r="R512" s="27"/>
      <c r="S512" s="27"/>
      <c r="T512" s="27"/>
      <c r="U512" s="27"/>
      <c r="V512" s="27"/>
      <c r="AE512" s="27"/>
      <c r="AF512" s="27"/>
      <c r="AG512" s="27"/>
      <c r="AH512" s="27"/>
      <c r="AI512" s="28"/>
      <c r="AJ512" s="29"/>
      <c r="AK512" s="29"/>
      <c r="AL512" s="27"/>
      <c r="AM512" s="27"/>
      <c r="AN512" s="27"/>
      <c r="AO512" s="27"/>
      <c r="AP512" s="27"/>
      <c r="AY512" s="27"/>
      <c r="AZ512" s="27"/>
      <c r="BA512" s="27"/>
      <c r="BB512" s="27"/>
      <c r="BC512" s="28"/>
      <c r="BD512" s="29"/>
      <c r="BE512" s="29"/>
      <c r="BF512" s="27"/>
      <c r="BG512" s="27"/>
      <c r="BH512" s="27"/>
      <c r="BI512" s="27"/>
      <c r="BJ512" s="27"/>
      <c r="BK512" s="27"/>
      <c r="BL512" s="27"/>
      <c r="BM512" s="27"/>
    </row>
    <row r="513">
      <c r="I513" s="27"/>
      <c r="J513" s="27"/>
      <c r="K513" s="27"/>
      <c r="L513" s="27"/>
      <c r="M513" s="28"/>
      <c r="N513" s="29"/>
      <c r="O513" s="29"/>
      <c r="P513" s="29"/>
      <c r="Q513" s="27"/>
      <c r="R513" s="27"/>
      <c r="S513" s="27"/>
      <c r="T513" s="27"/>
      <c r="U513" s="27"/>
      <c r="V513" s="27"/>
      <c r="AE513" s="27"/>
      <c r="AF513" s="27"/>
      <c r="AG513" s="27"/>
      <c r="AH513" s="27"/>
      <c r="AI513" s="28"/>
      <c r="AJ513" s="29"/>
      <c r="AK513" s="29"/>
      <c r="AL513" s="27"/>
      <c r="AM513" s="27"/>
      <c r="AN513" s="27"/>
      <c r="AO513" s="27"/>
      <c r="AP513" s="27"/>
      <c r="AY513" s="27"/>
      <c r="AZ513" s="27"/>
      <c r="BA513" s="27"/>
      <c r="BB513" s="27"/>
      <c r="BC513" s="28"/>
      <c r="BD513" s="29"/>
      <c r="BE513" s="29"/>
      <c r="BF513" s="27"/>
      <c r="BG513" s="27"/>
      <c r="BH513" s="27"/>
      <c r="BI513" s="27"/>
      <c r="BJ513" s="27"/>
      <c r="BK513" s="27"/>
      <c r="BL513" s="27"/>
      <c r="BM513" s="27"/>
    </row>
    <row r="514">
      <c r="I514" s="27"/>
      <c r="J514" s="27"/>
      <c r="K514" s="27"/>
      <c r="L514" s="27"/>
      <c r="M514" s="28"/>
      <c r="N514" s="29"/>
      <c r="O514" s="29"/>
      <c r="P514" s="29"/>
      <c r="Q514" s="27"/>
      <c r="R514" s="27"/>
      <c r="S514" s="27"/>
      <c r="T514" s="27"/>
      <c r="U514" s="27"/>
      <c r="V514" s="27"/>
      <c r="AE514" s="27"/>
      <c r="AF514" s="27"/>
      <c r="AG514" s="27"/>
      <c r="AH514" s="27"/>
      <c r="AI514" s="28"/>
      <c r="AJ514" s="29"/>
      <c r="AK514" s="29"/>
      <c r="AL514" s="27"/>
      <c r="AM514" s="27"/>
      <c r="AN514" s="27"/>
      <c r="AO514" s="27"/>
      <c r="AP514" s="27"/>
      <c r="AY514" s="27"/>
      <c r="AZ514" s="27"/>
      <c r="BA514" s="27"/>
      <c r="BB514" s="27"/>
      <c r="BC514" s="28"/>
      <c r="BD514" s="29"/>
      <c r="BE514" s="29"/>
      <c r="BF514" s="27"/>
      <c r="BG514" s="27"/>
      <c r="BH514" s="27"/>
      <c r="BI514" s="27"/>
      <c r="BJ514" s="27"/>
      <c r="BK514" s="27"/>
      <c r="BL514" s="27"/>
      <c r="BM514" s="27"/>
    </row>
    <row r="515">
      <c r="I515" s="27"/>
      <c r="J515" s="27"/>
      <c r="K515" s="27"/>
      <c r="L515" s="27"/>
      <c r="M515" s="28"/>
      <c r="N515" s="29"/>
      <c r="O515" s="29"/>
      <c r="P515" s="29"/>
      <c r="Q515" s="27"/>
      <c r="R515" s="27"/>
      <c r="S515" s="27"/>
      <c r="T515" s="27"/>
      <c r="U515" s="27"/>
      <c r="V515" s="27"/>
      <c r="AE515" s="27"/>
      <c r="AF515" s="27"/>
      <c r="AG515" s="27"/>
      <c r="AH515" s="27"/>
      <c r="AI515" s="28"/>
      <c r="AJ515" s="29"/>
      <c r="AK515" s="29"/>
      <c r="AL515" s="27"/>
      <c r="AM515" s="27"/>
      <c r="AN515" s="27"/>
      <c r="AO515" s="27"/>
      <c r="AP515" s="27"/>
      <c r="AY515" s="27"/>
      <c r="AZ515" s="27"/>
      <c r="BA515" s="27"/>
      <c r="BB515" s="27"/>
      <c r="BC515" s="28"/>
      <c r="BD515" s="29"/>
      <c r="BE515" s="29"/>
      <c r="BF515" s="27"/>
      <c r="BG515" s="27"/>
      <c r="BH515" s="27"/>
      <c r="BI515" s="27"/>
      <c r="BJ515" s="27"/>
      <c r="BK515" s="27"/>
      <c r="BL515" s="27"/>
      <c r="BM515" s="27"/>
    </row>
    <row r="516">
      <c r="I516" s="27"/>
      <c r="J516" s="27"/>
      <c r="K516" s="27"/>
      <c r="L516" s="27"/>
      <c r="M516" s="28"/>
      <c r="N516" s="29"/>
      <c r="O516" s="29"/>
      <c r="P516" s="29"/>
      <c r="Q516" s="27"/>
      <c r="R516" s="27"/>
      <c r="S516" s="27"/>
      <c r="T516" s="27"/>
      <c r="U516" s="27"/>
      <c r="V516" s="27"/>
      <c r="AE516" s="27"/>
      <c r="AF516" s="27"/>
      <c r="AG516" s="27"/>
      <c r="AH516" s="27"/>
      <c r="AI516" s="28"/>
      <c r="AJ516" s="29"/>
      <c r="AK516" s="29"/>
      <c r="AL516" s="27"/>
      <c r="AM516" s="27"/>
      <c r="AN516" s="27"/>
      <c r="AO516" s="27"/>
      <c r="AP516" s="27"/>
      <c r="AY516" s="27"/>
      <c r="AZ516" s="27"/>
      <c r="BA516" s="27"/>
      <c r="BB516" s="27"/>
      <c r="BC516" s="28"/>
      <c r="BD516" s="29"/>
      <c r="BE516" s="29"/>
      <c r="BF516" s="27"/>
      <c r="BG516" s="27"/>
      <c r="BH516" s="27"/>
      <c r="BI516" s="27"/>
      <c r="BJ516" s="27"/>
      <c r="BK516" s="27"/>
      <c r="BL516" s="27"/>
      <c r="BM516" s="27"/>
    </row>
    <row r="517">
      <c r="I517" s="27"/>
      <c r="J517" s="27"/>
      <c r="K517" s="27"/>
      <c r="L517" s="27"/>
      <c r="M517" s="28"/>
      <c r="N517" s="29"/>
      <c r="O517" s="29"/>
      <c r="P517" s="29"/>
      <c r="Q517" s="27"/>
      <c r="R517" s="27"/>
      <c r="S517" s="27"/>
      <c r="T517" s="27"/>
      <c r="U517" s="27"/>
      <c r="V517" s="27"/>
      <c r="AE517" s="27"/>
      <c r="AF517" s="27"/>
      <c r="AG517" s="27"/>
      <c r="AH517" s="27"/>
      <c r="AI517" s="28"/>
      <c r="AJ517" s="29"/>
      <c r="AK517" s="29"/>
      <c r="AL517" s="27"/>
      <c r="AM517" s="27"/>
      <c r="AN517" s="27"/>
      <c r="AO517" s="27"/>
      <c r="AP517" s="27"/>
      <c r="AY517" s="27"/>
      <c r="AZ517" s="27"/>
      <c r="BA517" s="27"/>
      <c r="BB517" s="27"/>
      <c r="BC517" s="28"/>
      <c r="BD517" s="29"/>
      <c r="BE517" s="29"/>
      <c r="BF517" s="27"/>
      <c r="BG517" s="27"/>
      <c r="BH517" s="27"/>
      <c r="BI517" s="27"/>
      <c r="BJ517" s="27"/>
      <c r="BK517" s="27"/>
      <c r="BL517" s="27"/>
      <c r="BM517" s="27"/>
    </row>
    <row r="518">
      <c r="I518" s="27"/>
      <c r="J518" s="27"/>
      <c r="K518" s="27"/>
      <c r="L518" s="27"/>
      <c r="M518" s="28"/>
      <c r="N518" s="29"/>
      <c r="O518" s="29"/>
      <c r="P518" s="29"/>
      <c r="Q518" s="27"/>
      <c r="R518" s="27"/>
      <c r="S518" s="27"/>
      <c r="T518" s="27"/>
      <c r="U518" s="27"/>
      <c r="V518" s="27"/>
      <c r="AE518" s="27"/>
      <c r="AF518" s="27"/>
      <c r="AG518" s="27"/>
      <c r="AH518" s="27"/>
      <c r="AI518" s="28"/>
      <c r="AJ518" s="29"/>
      <c r="AK518" s="29"/>
      <c r="AL518" s="27"/>
      <c r="AM518" s="27"/>
      <c r="AN518" s="27"/>
      <c r="AO518" s="27"/>
      <c r="AP518" s="27"/>
      <c r="AY518" s="27"/>
      <c r="AZ518" s="27"/>
      <c r="BA518" s="27"/>
      <c r="BB518" s="27"/>
      <c r="BC518" s="28"/>
      <c r="BD518" s="29"/>
      <c r="BE518" s="29"/>
      <c r="BF518" s="27"/>
      <c r="BG518" s="27"/>
      <c r="BH518" s="27"/>
      <c r="BI518" s="27"/>
      <c r="BJ518" s="27"/>
      <c r="BK518" s="27"/>
      <c r="BL518" s="27"/>
      <c r="BM518" s="27"/>
    </row>
    <row r="519">
      <c r="I519" s="27"/>
      <c r="J519" s="27"/>
      <c r="K519" s="27"/>
      <c r="L519" s="27"/>
      <c r="M519" s="28"/>
      <c r="N519" s="29"/>
      <c r="O519" s="29"/>
      <c r="P519" s="29"/>
      <c r="Q519" s="27"/>
      <c r="R519" s="27"/>
      <c r="S519" s="27"/>
      <c r="T519" s="27"/>
      <c r="U519" s="27"/>
      <c r="V519" s="27"/>
      <c r="AE519" s="27"/>
      <c r="AF519" s="27"/>
      <c r="AG519" s="27"/>
      <c r="AH519" s="27"/>
      <c r="AI519" s="28"/>
      <c r="AJ519" s="29"/>
      <c r="AK519" s="29"/>
      <c r="AL519" s="27"/>
      <c r="AM519" s="27"/>
      <c r="AN519" s="27"/>
      <c r="AO519" s="27"/>
      <c r="AP519" s="27"/>
      <c r="AY519" s="27"/>
      <c r="AZ519" s="27"/>
      <c r="BA519" s="27"/>
      <c r="BB519" s="27"/>
      <c r="BC519" s="28"/>
      <c r="BD519" s="29"/>
      <c r="BE519" s="29"/>
      <c r="BF519" s="27"/>
      <c r="BG519" s="27"/>
      <c r="BH519" s="27"/>
      <c r="BI519" s="27"/>
      <c r="BJ519" s="27"/>
      <c r="BK519" s="27"/>
      <c r="BL519" s="27"/>
      <c r="BM519" s="27"/>
    </row>
    <row r="520">
      <c r="I520" s="27"/>
      <c r="J520" s="27"/>
      <c r="K520" s="27"/>
      <c r="L520" s="27"/>
      <c r="M520" s="28"/>
      <c r="N520" s="29"/>
      <c r="O520" s="29"/>
      <c r="P520" s="29"/>
      <c r="Q520" s="27"/>
      <c r="R520" s="27"/>
      <c r="S520" s="27"/>
      <c r="T520" s="27"/>
      <c r="U520" s="27"/>
      <c r="V520" s="27"/>
      <c r="AE520" s="27"/>
      <c r="AF520" s="27"/>
      <c r="AG520" s="27"/>
      <c r="AH520" s="27"/>
      <c r="AI520" s="28"/>
      <c r="AJ520" s="29"/>
      <c r="AK520" s="29"/>
      <c r="AL520" s="27"/>
      <c r="AM520" s="27"/>
      <c r="AN520" s="27"/>
      <c r="AO520" s="27"/>
      <c r="AP520" s="27"/>
      <c r="AY520" s="27"/>
      <c r="AZ520" s="27"/>
      <c r="BA520" s="27"/>
      <c r="BB520" s="27"/>
      <c r="BC520" s="28"/>
      <c r="BD520" s="29"/>
      <c r="BE520" s="29"/>
      <c r="BF520" s="27"/>
      <c r="BG520" s="27"/>
      <c r="BH520" s="27"/>
      <c r="BI520" s="27"/>
      <c r="BJ520" s="27"/>
      <c r="BK520" s="27"/>
      <c r="BL520" s="27"/>
      <c r="BM520" s="27"/>
    </row>
    <row r="521">
      <c r="I521" s="27"/>
      <c r="J521" s="27"/>
      <c r="K521" s="27"/>
      <c r="L521" s="27"/>
      <c r="M521" s="28"/>
      <c r="N521" s="29"/>
      <c r="O521" s="29"/>
      <c r="P521" s="29"/>
      <c r="Q521" s="27"/>
      <c r="R521" s="27"/>
      <c r="S521" s="27"/>
      <c r="T521" s="27"/>
      <c r="U521" s="27"/>
      <c r="V521" s="27"/>
      <c r="AE521" s="27"/>
      <c r="AF521" s="27"/>
      <c r="AG521" s="27"/>
      <c r="AH521" s="27"/>
      <c r="AI521" s="28"/>
      <c r="AJ521" s="29"/>
      <c r="AK521" s="29"/>
      <c r="AL521" s="27"/>
      <c r="AM521" s="27"/>
      <c r="AN521" s="27"/>
      <c r="AO521" s="27"/>
      <c r="AP521" s="27"/>
      <c r="AY521" s="27"/>
      <c r="AZ521" s="27"/>
      <c r="BA521" s="27"/>
      <c r="BB521" s="27"/>
      <c r="BC521" s="28"/>
      <c r="BD521" s="29"/>
      <c r="BE521" s="29"/>
      <c r="BF521" s="27"/>
      <c r="BG521" s="27"/>
      <c r="BH521" s="27"/>
      <c r="BI521" s="27"/>
      <c r="BJ521" s="27"/>
      <c r="BK521" s="27"/>
      <c r="BL521" s="27"/>
      <c r="BM521" s="27"/>
    </row>
    <row r="522">
      <c r="I522" s="27"/>
      <c r="J522" s="27"/>
      <c r="K522" s="27"/>
      <c r="L522" s="27"/>
      <c r="M522" s="28"/>
      <c r="N522" s="29"/>
      <c r="O522" s="29"/>
      <c r="P522" s="29"/>
      <c r="Q522" s="27"/>
      <c r="R522" s="27"/>
      <c r="S522" s="27"/>
      <c r="T522" s="27"/>
      <c r="U522" s="27"/>
      <c r="V522" s="27"/>
      <c r="AE522" s="27"/>
      <c r="AF522" s="27"/>
      <c r="AG522" s="27"/>
      <c r="AH522" s="27"/>
      <c r="AI522" s="28"/>
      <c r="AJ522" s="29"/>
      <c r="AK522" s="29"/>
      <c r="AL522" s="27"/>
      <c r="AM522" s="27"/>
      <c r="AN522" s="27"/>
      <c r="AO522" s="27"/>
      <c r="AP522" s="27"/>
      <c r="AY522" s="27"/>
      <c r="AZ522" s="27"/>
      <c r="BA522" s="27"/>
      <c r="BB522" s="27"/>
      <c r="BC522" s="28"/>
      <c r="BD522" s="29"/>
      <c r="BE522" s="29"/>
      <c r="BF522" s="27"/>
      <c r="BG522" s="27"/>
      <c r="BH522" s="27"/>
      <c r="BI522" s="27"/>
      <c r="BJ522" s="27"/>
      <c r="BK522" s="27"/>
      <c r="BL522" s="27"/>
      <c r="BM522" s="27"/>
    </row>
    <row r="523">
      <c r="I523" s="27"/>
      <c r="J523" s="27"/>
      <c r="K523" s="27"/>
      <c r="L523" s="27"/>
      <c r="M523" s="28"/>
      <c r="N523" s="29"/>
      <c r="O523" s="29"/>
      <c r="P523" s="29"/>
      <c r="Q523" s="27"/>
      <c r="R523" s="27"/>
      <c r="S523" s="27"/>
      <c r="T523" s="27"/>
      <c r="U523" s="27"/>
      <c r="V523" s="27"/>
      <c r="AE523" s="27"/>
      <c r="AF523" s="27"/>
      <c r="AG523" s="27"/>
      <c r="AH523" s="27"/>
      <c r="AI523" s="28"/>
      <c r="AJ523" s="29"/>
      <c r="AK523" s="29"/>
      <c r="AL523" s="27"/>
      <c r="AM523" s="27"/>
      <c r="AN523" s="27"/>
      <c r="AO523" s="27"/>
      <c r="AP523" s="27"/>
      <c r="AY523" s="27"/>
      <c r="AZ523" s="27"/>
      <c r="BA523" s="27"/>
      <c r="BB523" s="27"/>
      <c r="BC523" s="28"/>
      <c r="BD523" s="29"/>
      <c r="BE523" s="29"/>
      <c r="BF523" s="27"/>
      <c r="BG523" s="27"/>
      <c r="BH523" s="27"/>
      <c r="BI523" s="27"/>
      <c r="BJ523" s="27"/>
      <c r="BK523" s="27"/>
      <c r="BL523" s="27"/>
      <c r="BM523" s="27"/>
    </row>
    <row r="524">
      <c r="I524" s="27"/>
      <c r="J524" s="27"/>
      <c r="K524" s="27"/>
      <c r="L524" s="27"/>
      <c r="M524" s="28"/>
      <c r="N524" s="29"/>
      <c r="O524" s="29"/>
      <c r="P524" s="29"/>
      <c r="Q524" s="27"/>
      <c r="R524" s="27"/>
      <c r="S524" s="27"/>
      <c r="T524" s="27"/>
      <c r="U524" s="27"/>
      <c r="V524" s="27"/>
      <c r="AE524" s="27"/>
      <c r="AF524" s="27"/>
      <c r="AG524" s="27"/>
      <c r="AH524" s="27"/>
      <c r="AI524" s="28"/>
      <c r="AJ524" s="29"/>
      <c r="AK524" s="29"/>
      <c r="AL524" s="27"/>
      <c r="AM524" s="27"/>
      <c r="AN524" s="27"/>
      <c r="AO524" s="27"/>
      <c r="AP524" s="27"/>
      <c r="AY524" s="27"/>
      <c r="AZ524" s="27"/>
      <c r="BA524" s="27"/>
      <c r="BB524" s="27"/>
      <c r="BC524" s="28"/>
      <c r="BD524" s="29"/>
      <c r="BE524" s="29"/>
      <c r="BF524" s="27"/>
      <c r="BG524" s="27"/>
      <c r="BH524" s="27"/>
      <c r="BI524" s="27"/>
      <c r="BJ524" s="27"/>
      <c r="BK524" s="27"/>
      <c r="BL524" s="27"/>
      <c r="BM524" s="27"/>
    </row>
    <row r="525">
      <c r="I525" s="27"/>
      <c r="J525" s="27"/>
      <c r="K525" s="27"/>
      <c r="L525" s="27"/>
      <c r="M525" s="28"/>
      <c r="N525" s="29"/>
      <c r="O525" s="29"/>
      <c r="P525" s="29"/>
      <c r="Q525" s="27"/>
      <c r="R525" s="27"/>
      <c r="S525" s="27"/>
      <c r="T525" s="27"/>
      <c r="U525" s="27"/>
      <c r="V525" s="27"/>
      <c r="AE525" s="27"/>
      <c r="AF525" s="27"/>
      <c r="AG525" s="27"/>
      <c r="AH525" s="27"/>
      <c r="AI525" s="28"/>
      <c r="AJ525" s="29"/>
      <c r="AK525" s="29"/>
      <c r="AL525" s="27"/>
      <c r="AM525" s="27"/>
      <c r="AN525" s="27"/>
      <c r="AO525" s="27"/>
      <c r="AP525" s="27"/>
      <c r="AY525" s="27"/>
      <c r="AZ525" s="27"/>
      <c r="BA525" s="27"/>
      <c r="BB525" s="27"/>
      <c r="BC525" s="28"/>
      <c r="BD525" s="29"/>
      <c r="BE525" s="29"/>
      <c r="BF525" s="27"/>
      <c r="BG525" s="27"/>
      <c r="BH525" s="27"/>
      <c r="BI525" s="27"/>
      <c r="BJ525" s="27"/>
      <c r="BK525" s="27"/>
      <c r="BL525" s="27"/>
      <c r="BM525" s="27"/>
    </row>
    <row r="526">
      <c r="I526" s="27"/>
      <c r="J526" s="27"/>
      <c r="K526" s="27"/>
      <c r="L526" s="27"/>
      <c r="M526" s="28"/>
      <c r="N526" s="29"/>
      <c r="O526" s="29"/>
      <c r="P526" s="29"/>
      <c r="Q526" s="27"/>
      <c r="R526" s="27"/>
      <c r="S526" s="27"/>
      <c r="T526" s="27"/>
      <c r="U526" s="27"/>
      <c r="V526" s="27"/>
      <c r="AE526" s="27"/>
      <c r="AF526" s="27"/>
      <c r="AG526" s="27"/>
      <c r="AH526" s="27"/>
      <c r="AI526" s="28"/>
      <c r="AJ526" s="29"/>
      <c r="AK526" s="29"/>
      <c r="AL526" s="27"/>
      <c r="AM526" s="27"/>
      <c r="AN526" s="27"/>
      <c r="AO526" s="27"/>
      <c r="AP526" s="27"/>
      <c r="AY526" s="27"/>
      <c r="AZ526" s="27"/>
      <c r="BA526" s="27"/>
      <c r="BB526" s="27"/>
      <c r="BC526" s="28"/>
      <c r="BD526" s="29"/>
      <c r="BE526" s="29"/>
      <c r="BF526" s="27"/>
      <c r="BG526" s="27"/>
      <c r="BH526" s="27"/>
      <c r="BI526" s="27"/>
      <c r="BJ526" s="27"/>
      <c r="BK526" s="27"/>
      <c r="BL526" s="27"/>
      <c r="BM526" s="27"/>
    </row>
    <row r="527">
      <c r="I527" s="27"/>
      <c r="J527" s="27"/>
      <c r="K527" s="27"/>
      <c r="L527" s="27"/>
      <c r="M527" s="28"/>
      <c r="N527" s="29"/>
      <c r="O527" s="29"/>
      <c r="P527" s="29"/>
      <c r="Q527" s="27"/>
      <c r="R527" s="27"/>
      <c r="S527" s="27"/>
      <c r="T527" s="27"/>
      <c r="U527" s="27"/>
      <c r="V527" s="27"/>
      <c r="AE527" s="27"/>
      <c r="AF527" s="27"/>
      <c r="AG527" s="27"/>
      <c r="AH527" s="27"/>
      <c r="AI527" s="28"/>
      <c r="AJ527" s="29"/>
      <c r="AK527" s="29"/>
      <c r="AL527" s="27"/>
      <c r="AM527" s="27"/>
      <c r="AN527" s="27"/>
      <c r="AO527" s="27"/>
      <c r="AP527" s="27"/>
      <c r="AY527" s="27"/>
      <c r="AZ527" s="27"/>
      <c r="BA527" s="27"/>
      <c r="BB527" s="27"/>
      <c r="BC527" s="28"/>
      <c r="BD527" s="29"/>
      <c r="BE527" s="29"/>
      <c r="BF527" s="27"/>
      <c r="BG527" s="27"/>
      <c r="BH527" s="27"/>
      <c r="BI527" s="27"/>
      <c r="BJ527" s="27"/>
      <c r="BK527" s="27"/>
      <c r="BL527" s="27"/>
      <c r="BM527" s="27"/>
    </row>
    <row r="528">
      <c r="I528" s="27"/>
      <c r="J528" s="27"/>
      <c r="K528" s="27"/>
      <c r="L528" s="27"/>
      <c r="M528" s="28"/>
      <c r="N528" s="29"/>
      <c r="O528" s="29"/>
      <c r="P528" s="29"/>
      <c r="Q528" s="27"/>
      <c r="R528" s="27"/>
      <c r="S528" s="27"/>
      <c r="T528" s="27"/>
      <c r="U528" s="27"/>
      <c r="V528" s="27"/>
      <c r="AE528" s="27"/>
      <c r="AF528" s="27"/>
      <c r="AG528" s="27"/>
      <c r="AH528" s="27"/>
      <c r="AI528" s="28"/>
      <c r="AJ528" s="29"/>
      <c r="AK528" s="29"/>
      <c r="AL528" s="27"/>
      <c r="AM528" s="27"/>
      <c r="AN528" s="27"/>
      <c r="AO528" s="27"/>
      <c r="AP528" s="27"/>
      <c r="AY528" s="27"/>
      <c r="AZ528" s="27"/>
      <c r="BA528" s="27"/>
      <c r="BB528" s="27"/>
      <c r="BC528" s="28"/>
      <c r="BD528" s="29"/>
      <c r="BE528" s="29"/>
      <c r="BF528" s="27"/>
      <c r="BG528" s="27"/>
      <c r="BH528" s="27"/>
      <c r="BI528" s="27"/>
      <c r="BJ528" s="27"/>
      <c r="BK528" s="27"/>
      <c r="BL528" s="27"/>
      <c r="BM528" s="27"/>
    </row>
    <row r="529">
      <c r="I529" s="27"/>
      <c r="J529" s="27"/>
      <c r="K529" s="27"/>
      <c r="L529" s="27"/>
      <c r="M529" s="28"/>
      <c r="N529" s="29"/>
      <c r="O529" s="29"/>
      <c r="P529" s="29"/>
      <c r="Q529" s="27"/>
      <c r="R529" s="27"/>
      <c r="S529" s="27"/>
      <c r="T529" s="27"/>
      <c r="U529" s="27"/>
      <c r="V529" s="27"/>
      <c r="AE529" s="27"/>
      <c r="AF529" s="27"/>
      <c r="AG529" s="27"/>
      <c r="AH529" s="27"/>
      <c r="AI529" s="28"/>
      <c r="AJ529" s="29"/>
      <c r="AK529" s="29"/>
      <c r="AL529" s="27"/>
      <c r="AM529" s="27"/>
      <c r="AN529" s="27"/>
      <c r="AO529" s="27"/>
      <c r="AP529" s="27"/>
      <c r="AY529" s="27"/>
      <c r="AZ529" s="27"/>
      <c r="BA529" s="27"/>
      <c r="BB529" s="27"/>
      <c r="BC529" s="28"/>
      <c r="BD529" s="29"/>
      <c r="BE529" s="29"/>
      <c r="BF529" s="27"/>
      <c r="BG529" s="27"/>
      <c r="BH529" s="27"/>
      <c r="BI529" s="27"/>
      <c r="BJ529" s="27"/>
      <c r="BK529" s="27"/>
      <c r="BL529" s="27"/>
      <c r="BM529" s="27"/>
    </row>
    <row r="530">
      <c r="I530" s="27"/>
      <c r="J530" s="27"/>
      <c r="K530" s="27"/>
      <c r="L530" s="27"/>
      <c r="M530" s="28"/>
      <c r="N530" s="29"/>
      <c r="O530" s="29"/>
      <c r="P530" s="29"/>
      <c r="Q530" s="27"/>
      <c r="R530" s="27"/>
      <c r="S530" s="27"/>
      <c r="T530" s="27"/>
      <c r="U530" s="27"/>
      <c r="V530" s="27"/>
      <c r="AE530" s="27"/>
      <c r="AF530" s="27"/>
      <c r="AG530" s="27"/>
      <c r="AH530" s="27"/>
      <c r="AI530" s="28"/>
      <c r="AJ530" s="29"/>
      <c r="AK530" s="29"/>
      <c r="AL530" s="27"/>
      <c r="AM530" s="27"/>
      <c r="AN530" s="27"/>
      <c r="AO530" s="27"/>
      <c r="AP530" s="27"/>
      <c r="AY530" s="27"/>
      <c r="AZ530" s="27"/>
      <c r="BA530" s="27"/>
      <c r="BB530" s="27"/>
      <c r="BC530" s="28"/>
      <c r="BD530" s="29"/>
      <c r="BE530" s="29"/>
      <c r="BF530" s="27"/>
      <c r="BG530" s="27"/>
      <c r="BH530" s="27"/>
      <c r="BI530" s="27"/>
      <c r="BJ530" s="27"/>
      <c r="BK530" s="27"/>
      <c r="BL530" s="27"/>
      <c r="BM530" s="27"/>
    </row>
    <row r="531">
      <c r="I531" s="27"/>
      <c r="J531" s="27"/>
      <c r="K531" s="27"/>
      <c r="L531" s="27"/>
      <c r="M531" s="28"/>
      <c r="N531" s="29"/>
      <c r="O531" s="29"/>
      <c r="P531" s="29"/>
      <c r="Q531" s="27"/>
      <c r="R531" s="27"/>
      <c r="S531" s="27"/>
      <c r="T531" s="27"/>
      <c r="U531" s="27"/>
      <c r="V531" s="27"/>
      <c r="AE531" s="27"/>
      <c r="AF531" s="27"/>
      <c r="AG531" s="27"/>
      <c r="AH531" s="27"/>
      <c r="AI531" s="28"/>
      <c r="AJ531" s="29"/>
      <c r="AK531" s="29"/>
      <c r="AL531" s="27"/>
      <c r="AM531" s="27"/>
      <c r="AN531" s="27"/>
      <c r="AO531" s="27"/>
      <c r="AP531" s="27"/>
      <c r="AY531" s="27"/>
      <c r="AZ531" s="27"/>
      <c r="BA531" s="27"/>
      <c r="BB531" s="27"/>
      <c r="BC531" s="28"/>
      <c r="BD531" s="29"/>
      <c r="BE531" s="29"/>
      <c r="BF531" s="27"/>
      <c r="BG531" s="27"/>
      <c r="BH531" s="27"/>
      <c r="BI531" s="27"/>
      <c r="BJ531" s="27"/>
      <c r="BK531" s="27"/>
      <c r="BL531" s="27"/>
      <c r="BM531" s="27"/>
    </row>
    <row r="532">
      <c r="I532" s="27"/>
      <c r="J532" s="27"/>
      <c r="K532" s="27"/>
      <c r="L532" s="27"/>
      <c r="M532" s="28"/>
      <c r="N532" s="29"/>
      <c r="O532" s="29"/>
      <c r="P532" s="29"/>
      <c r="Q532" s="27"/>
      <c r="R532" s="27"/>
      <c r="S532" s="27"/>
      <c r="T532" s="27"/>
      <c r="U532" s="27"/>
      <c r="V532" s="27"/>
      <c r="AE532" s="27"/>
      <c r="AF532" s="27"/>
      <c r="AG532" s="27"/>
      <c r="AH532" s="27"/>
      <c r="AI532" s="28"/>
      <c r="AJ532" s="29"/>
      <c r="AK532" s="29"/>
      <c r="AL532" s="27"/>
      <c r="AM532" s="27"/>
      <c r="AN532" s="27"/>
      <c r="AO532" s="27"/>
      <c r="AP532" s="27"/>
      <c r="AY532" s="27"/>
      <c r="AZ532" s="27"/>
      <c r="BA532" s="27"/>
      <c r="BB532" s="27"/>
      <c r="BC532" s="28"/>
      <c r="BD532" s="29"/>
      <c r="BE532" s="29"/>
      <c r="BF532" s="27"/>
      <c r="BG532" s="27"/>
      <c r="BH532" s="27"/>
      <c r="BI532" s="27"/>
      <c r="BJ532" s="27"/>
      <c r="BK532" s="27"/>
      <c r="BL532" s="27"/>
      <c r="BM532" s="27"/>
    </row>
    <row r="533">
      <c r="I533" s="27"/>
      <c r="J533" s="27"/>
      <c r="K533" s="27"/>
      <c r="L533" s="27"/>
      <c r="M533" s="28"/>
      <c r="N533" s="29"/>
      <c r="O533" s="29"/>
      <c r="P533" s="29"/>
      <c r="Q533" s="27"/>
      <c r="R533" s="27"/>
      <c r="S533" s="27"/>
      <c r="T533" s="27"/>
      <c r="U533" s="27"/>
      <c r="V533" s="27"/>
      <c r="AE533" s="27"/>
      <c r="AF533" s="27"/>
      <c r="AG533" s="27"/>
      <c r="AH533" s="27"/>
      <c r="AI533" s="28"/>
      <c r="AJ533" s="29"/>
      <c r="AK533" s="29"/>
      <c r="AL533" s="27"/>
      <c r="AM533" s="27"/>
      <c r="AN533" s="27"/>
      <c r="AO533" s="27"/>
      <c r="AP533" s="27"/>
      <c r="AY533" s="27"/>
      <c r="AZ533" s="27"/>
      <c r="BA533" s="27"/>
      <c r="BB533" s="27"/>
      <c r="BC533" s="28"/>
      <c r="BD533" s="29"/>
      <c r="BE533" s="29"/>
      <c r="BF533" s="27"/>
      <c r="BG533" s="27"/>
      <c r="BH533" s="27"/>
      <c r="BI533" s="27"/>
      <c r="BJ533" s="27"/>
      <c r="BK533" s="27"/>
      <c r="BL533" s="27"/>
      <c r="BM533" s="27"/>
    </row>
    <row r="534">
      <c r="I534" s="27"/>
      <c r="J534" s="27"/>
      <c r="K534" s="27"/>
      <c r="L534" s="27"/>
      <c r="M534" s="28"/>
      <c r="N534" s="29"/>
      <c r="O534" s="29"/>
      <c r="P534" s="29"/>
      <c r="Q534" s="27"/>
      <c r="R534" s="27"/>
      <c r="S534" s="27"/>
      <c r="T534" s="27"/>
      <c r="U534" s="27"/>
      <c r="V534" s="27"/>
      <c r="AE534" s="27"/>
      <c r="AF534" s="27"/>
      <c r="AG534" s="27"/>
      <c r="AH534" s="27"/>
      <c r="AI534" s="28"/>
      <c r="AJ534" s="29"/>
      <c r="AK534" s="29"/>
      <c r="AL534" s="27"/>
      <c r="AM534" s="27"/>
      <c r="AN534" s="27"/>
      <c r="AO534" s="27"/>
      <c r="AP534" s="27"/>
      <c r="AY534" s="27"/>
      <c r="AZ534" s="27"/>
      <c r="BA534" s="27"/>
      <c r="BB534" s="27"/>
      <c r="BC534" s="28"/>
      <c r="BD534" s="29"/>
      <c r="BE534" s="29"/>
      <c r="BF534" s="27"/>
      <c r="BG534" s="27"/>
      <c r="BH534" s="27"/>
      <c r="BI534" s="27"/>
      <c r="BJ534" s="27"/>
      <c r="BK534" s="27"/>
      <c r="BL534" s="27"/>
      <c r="BM534" s="27"/>
    </row>
    <row r="535">
      <c r="I535" s="27"/>
      <c r="J535" s="27"/>
      <c r="K535" s="27"/>
      <c r="L535" s="27"/>
      <c r="M535" s="28"/>
      <c r="N535" s="29"/>
      <c r="O535" s="29"/>
      <c r="P535" s="29"/>
      <c r="Q535" s="27"/>
      <c r="R535" s="27"/>
      <c r="S535" s="27"/>
      <c r="T535" s="27"/>
      <c r="U535" s="27"/>
      <c r="V535" s="27"/>
      <c r="AE535" s="27"/>
      <c r="AF535" s="27"/>
      <c r="AG535" s="27"/>
      <c r="AH535" s="27"/>
      <c r="AI535" s="28"/>
      <c r="AJ535" s="29"/>
      <c r="AK535" s="29"/>
      <c r="AL535" s="27"/>
      <c r="AM535" s="27"/>
      <c r="AN535" s="27"/>
      <c r="AO535" s="27"/>
      <c r="AP535" s="27"/>
      <c r="AY535" s="27"/>
      <c r="AZ535" s="27"/>
      <c r="BA535" s="27"/>
      <c r="BB535" s="27"/>
      <c r="BC535" s="28"/>
      <c r="BD535" s="29"/>
      <c r="BE535" s="29"/>
      <c r="BF535" s="27"/>
      <c r="BG535" s="27"/>
      <c r="BH535" s="27"/>
      <c r="BI535" s="27"/>
      <c r="BJ535" s="27"/>
      <c r="BK535" s="27"/>
      <c r="BL535" s="27"/>
      <c r="BM535" s="27"/>
    </row>
    <row r="536">
      <c r="I536" s="27"/>
      <c r="J536" s="27"/>
      <c r="K536" s="27"/>
      <c r="L536" s="27"/>
      <c r="M536" s="28"/>
      <c r="N536" s="29"/>
      <c r="O536" s="29"/>
      <c r="P536" s="29"/>
      <c r="Q536" s="27"/>
      <c r="R536" s="27"/>
      <c r="S536" s="27"/>
      <c r="T536" s="27"/>
      <c r="U536" s="27"/>
      <c r="V536" s="27"/>
      <c r="AE536" s="27"/>
      <c r="AF536" s="27"/>
      <c r="AG536" s="27"/>
      <c r="AH536" s="27"/>
      <c r="AI536" s="28"/>
      <c r="AJ536" s="29"/>
      <c r="AK536" s="29"/>
      <c r="AL536" s="27"/>
      <c r="AM536" s="27"/>
      <c r="AN536" s="27"/>
      <c r="AO536" s="27"/>
      <c r="AP536" s="27"/>
      <c r="AY536" s="27"/>
      <c r="AZ536" s="27"/>
      <c r="BA536" s="27"/>
      <c r="BB536" s="27"/>
      <c r="BC536" s="28"/>
      <c r="BD536" s="29"/>
      <c r="BE536" s="29"/>
      <c r="BF536" s="27"/>
      <c r="BG536" s="27"/>
      <c r="BH536" s="27"/>
      <c r="BI536" s="27"/>
      <c r="BJ536" s="27"/>
      <c r="BK536" s="27"/>
      <c r="BL536" s="27"/>
      <c r="BM536" s="27"/>
    </row>
    <row r="537">
      <c r="I537" s="27"/>
      <c r="J537" s="27"/>
      <c r="K537" s="27"/>
      <c r="L537" s="27"/>
      <c r="M537" s="28"/>
      <c r="N537" s="29"/>
      <c r="O537" s="29"/>
      <c r="P537" s="29"/>
      <c r="Q537" s="27"/>
      <c r="R537" s="27"/>
      <c r="S537" s="27"/>
      <c r="T537" s="27"/>
      <c r="U537" s="27"/>
      <c r="V537" s="27"/>
      <c r="AE537" s="27"/>
      <c r="AF537" s="27"/>
      <c r="AG537" s="27"/>
      <c r="AH537" s="27"/>
      <c r="AI537" s="28"/>
      <c r="AJ537" s="29"/>
      <c r="AK537" s="29"/>
      <c r="AL537" s="27"/>
      <c r="AM537" s="27"/>
      <c r="AN537" s="27"/>
      <c r="AO537" s="27"/>
      <c r="AP537" s="27"/>
      <c r="AY537" s="27"/>
      <c r="AZ537" s="27"/>
      <c r="BA537" s="27"/>
      <c r="BB537" s="27"/>
      <c r="BC537" s="28"/>
      <c r="BD537" s="29"/>
      <c r="BE537" s="29"/>
      <c r="BF537" s="27"/>
      <c r="BG537" s="27"/>
      <c r="BH537" s="27"/>
      <c r="BI537" s="27"/>
      <c r="BJ537" s="27"/>
      <c r="BK537" s="27"/>
      <c r="BL537" s="27"/>
      <c r="BM537" s="27"/>
    </row>
    <row r="538">
      <c r="I538" s="27"/>
      <c r="J538" s="27"/>
      <c r="K538" s="27"/>
      <c r="L538" s="27"/>
      <c r="M538" s="28"/>
      <c r="N538" s="29"/>
      <c r="O538" s="29"/>
      <c r="P538" s="29"/>
      <c r="Q538" s="27"/>
      <c r="R538" s="27"/>
      <c r="S538" s="27"/>
      <c r="T538" s="27"/>
      <c r="U538" s="27"/>
      <c r="V538" s="27"/>
      <c r="AE538" s="27"/>
      <c r="AF538" s="27"/>
      <c r="AG538" s="27"/>
      <c r="AH538" s="27"/>
      <c r="AI538" s="28"/>
      <c r="AJ538" s="29"/>
      <c r="AK538" s="29"/>
      <c r="AL538" s="27"/>
      <c r="AM538" s="27"/>
      <c r="AN538" s="27"/>
      <c r="AO538" s="27"/>
      <c r="AP538" s="27"/>
      <c r="AY538" s="27"/>
      <c r="AZ538" s="27"/>
      <c r="BA538" s="27"/>
      <c r="BB538" s="27"/>
      <c r="BC538" s="28"/>
      <c r="BD538" s="29"/>
      <c r="BE538" s="29"/>
      <c r="BF538" s="27"/>
      <c r="BG538" s="27"/>
      <c r="BH538" s="27"/>
      <c r="BI538" s="27"/>
      <c r="BJ538" s="27"/>
      <c r="BK538" s="27"/>
      <c r="BL538" s="27"/>
      <c r="BM538" s="27"/>
    </row>
    <row r="539">
      <c r="I539" s="27"/>
      <c r="J539" s="27"/>
      <c r="K539" s="27"/>
      <c r="L539" s="27"/>
      <c r="M539" s="28"/>
      <c r="N539" s="29"/>
      <c r="O539" s="29"/>
      <c r="P539" s="29"/>
      <c r="Q539" s="27"/>
      <c r="R539" s="27"/>
      <c r="S539" s="27"/>
      <c r="T539" s="27"/>
      <c r="U539" s="27"/>
      <c r="V539" s="27"/>
      <c r="AE539" s="27"/>
      <c r="AF539" s="27"/>
      <c r="AG539" s="27"/>
      <c r="AH539" s="27"/>
      <c r="AI539" s="28"/>
      <c r="AJ539" s="29"/>
      <c r="AK539" s="29"/>
      <c r="AL539" s="27"/>
      <c r="AM539" s="27"/>
      <c r="AN539" s="27"/>
      <c r="AO539" s="27"/>
      <c r="AP539" s="27"/>
      <c r="AY539" s="27"/>
      <c r="AZ539" s="27"/>
      <c r="BA539" s="27"/>
      <c r="BB539" s="27"/>
      <c r="BC539" s="28"/>
      <c r="BD539" s="29"/>
      <c r="BE539" s="29"/>
      <c r="BF539" s="27"/>
      <c r="BG539" s="27"/>
      <c r="BH539" s="27"/>
      <c r="BI539" s="27"/>
      <c r="BJ539" s="27"/>
      <c r="BK539" s="27"/>
      <c r="BL539" s="27"/>
      <c r="BM539" s="27"/>
    </row>
    <row r="540">
      <c r="I540" s="27"/>
      <c r="J540" s="27"/>
      <c r="K540" s="27"/>
      <c r="L540" s="27"/>
      <c r="M540" s="28"/>
      <c r="N540" s="29"/>
      <c r="O540" s="29"/>
      <c r="P540" s="29"/>
      <c r="Q540" s="27"/>
      <c r="R540" s="27"/>
      <c r="S540" s="27"/>
      <c r="T540" s="27"/>
      <c r="U540" s="27"/>
      <c r="V540" s="27"/>
      <c r="AE540" s="27"/>
      <c r="AF540" s="27"/>
      <c r="AG540" s="27"/>
      <c r="AH540" s="27"/>
      <c r="AI540" s="28"/>
      <c r="AJ540" s="29"/>
      <c r="AK540" s="29"/>
      <c r="AL540" s="27"/>
      <c r="AM540" s="27"/>
      <c r="AN540" s="27"/>
      <c r="AO540" s="27"/>
      <c r="AP540" s="27"/>
      <c r="AY540" s="27"/>
      <c r="AZ540" s="27"/>
      <c r="BA540" s="27"/>
      <c r="BB540" s="27"/>
      <c r="BC540" s="28"/>
      <c r="BD540" s="29"/>
      <c r="BE540" s="29"/>
      <c r="BF540" s="27"/>
      <c r="BG540" s="27"/>
      <c r="BH540" s="27"/>
      <c r="BI540" s="27"/>
      <c r="BJ540" s="27"/>
      <c r="BK540" s="27"/>
      <c r="BL540" s="27"/>
      <c r="BM540" s="27"/>
    </row>
    <row r="541">
      <c r="I541" s="27"/>
      <c r="J541" s="27"/>
      <c r="K541" s="27"/>
      <c r="L541" s="27"/>
      <c r="M541" s="28"/>
      <c r="N541" s="29"/>
      <c r="O541" s="29"/>
      <c r="P541" s="29"/>
      <c r="Q541" s="27"/>
      <c r="R541" s="27"/>
      <c r="S541" s="27"/>
      <c r="T541" s="27"/>
      <c r="U541" s="27"/>
      <c r="V541" s="27"/>
      <c r="AE541" s="27"/>
      <c r="AF541" s="27"/>
      <c r="AG541" s="27"/>
      <c r="AH541" s="27"/>
      <c r="AI541" s="28"/>
      <c r="AJ541" s="29"/>
      <c r="AK541" s="29"/>
      <c r="AL541" s="27"/>
      <c r="AM541" s="27"/>
      <c r="AN541" s="27"/>
      <c r="AO541" s="27"/>
      <c r="AP541" s="27"/>
      <c r="AY541" s="27"/>
      <c r="AZ541" s="27"/>
      <c r="BA541" s="27"/>
      <c r="BB541" s="27"/>
      <c r="BC541" s="28"/>
      <c r="BD541" s="29"/>
      <c r="BE541" s="29"/>
      <c r="BF541" s="27"/>
      <c r="BG541" s="27"/>
      <c r="BH541" s="27"/>
      <c r="BI541" s="27"/>
      <c r="BJ541" s="27"/>
      <c r="BK541" s="27"/>
      <c r="BL541" s="27"/>
      <c r="BM541" s="27"/>
    </row>
    <row r="542">
      <c r="I542" s="27"/>
      <c r="J542" s="27"/>
      <c r="K542" s="27"/>
      <c r="L542" s="27"/>
      <c r="M542" s="28"/>
      <c r="N542" s="29"/>
      <c r="O542" s="29"/>
      <c r="P542" s="29"/>
      <c r="Q542" s="27"/>
      <c r="R542" s="27"/>
      <c r="S542" s="27"/>
      <c r="T542" s="27"/>
      <c r="U542" s="27"/>
      <c r="V542" s="27"/>
      <c r="AE542" s="27"/>
      <c r="AF542" s="27"/>
      <c r="AG542" s="27"/>
      <c r="AH542" s="27"/>
      <c r="AI542" s="28"/>
      <c r="AJ542" s="29"/>
      <c r="AK542" s="29"/>
      <c r="AL542" s="27"/>
      <c r="AM542" s="27"/>
      <c r="AN542" s="27"/>
      <c r="AO542" s="27"/>
      <c r="AP542" s="27"/>
      <c r="AY542" s="27"/>
      <c r="AZ542" s="27"/>
      <c r="BA542" s="27"/>
      <c r="BB542" s="27"/>
      <c r="BC542" s="28"/>
      <c r="BD542" s="29"/>
      <c r="BE542" s="29"/>
      <c r="BF542" s="27"/>
      <c r="BG542" s="27"/>
      <c r="BH542" s="27"/>
      <c r="BI542" s="27"/>
      <c r="BJ542" s="27"/>
      <c r="BK542" s="27"/>
      <c r="BL542" s="27"/>
      <c r="BM542" s="27"/>
    </row>
    <row r="543">
      <c r="I543" s="27"/>
      <c r="J543" s="27"/>
      <c r="K543" s="27"/>
      <c r="L543" s="27"/>
      <c r="M543" s="28"/>
      <c r="N543" s="29"/>
      <c r="O543" s="29"/>
      <c r="P543" s="29"/>
      <c r="Q543" s="27"/>
      <c r="R543" s="27"/>
      <c r="S543" s="27"/>
      <c r="T543" s="27"/>
      <c r="U543" s="27"/>
      <c r="V543" s="27"/>
      <c r="AE543" s="27"/>
      <c r="AF543" s="27"/>
      <c r="AG543" s="27"/>
      <c r="AH543" s="27"/>
      <c r="AI543" s="28"/>
      <c r="AJ543" s="29"/>
      <c r="AK543" s="29"/>
      <c r="AL543" s="27"/>
      <c r="AM543" s="27"/>
      <c r="AN543" s="27"/>
      <c r="AO543" s="27"/>
      <c r="AP543" s="27"/>
      <c r="AY543" s="27"/>
      <c r="AZ543" s="27"/>
      <c r="BA543" s="27"/>
      <c r="BB543" s="27"/>
      <c r="BC543" s="28"/>
      <c r="BD543" s="29"/>
      <c r="BE543" s="29"/>
      <c r="BF543" s="27"/>
      <c r="BG543" s="27"/>
      <c r="BH543" s="27"/>
      <c r="BI543" s="27"/>
      <c r="BJ543" s="27"/>
      <c r="BK543" s="27"/>
      <c r="BL543" s="27"/>
      <c r="BM543" s="27"/>
    </row>
    <row r="544">
      <c r="I544" s="27"/>
      <c r="J544" s="27"/>
      <c r="K544" s="27"/>
      <c r="L544" s="27"/>
      <c r="M544" s="28"/>
      <c r="N544" s="29"/>
      <c r="O544" s="29"/>
      <c r="P544" s="29"/>
      <c r="Q544" s="27"/>
      <c r="R544" s="27"/>
      <c r="S544" s="27"/>
      <c r="T544" s="27"/>
      <c r="U544" s="27"/>
      <c r="V544" s="27"/>
      <c r="AE544" s="27"/>
      <c r="AF544" s="27"/>
      <c r="AG544" s="27"/>
      <c r="AH544" s="27"/>
      <c r="AI544" s="28"/>
      <c r="AJ544" s="29"/>
      <c r="AK544" s="29"/>
      <c r="AL544" s="27"/>
      <c r="AM544" s="27"/>
      <c r="AN544" s="27"/>
      <c r="AO544" s="27"/>
      <c r="AP544" s="27"/>
      <c r="AY544" s="27"/>
      <c r="AZ544" s="27"/>
      <c r="BA544" s="27"/>
      <c r="BB544" s="27"/>
      <c r="BC544" s="28"/>
      <c r="BD544" s="29"/>
      <c r="BE544" s="29"/>
      <c r="BF544" s="27"/>
      <c r="BG544" s="27"/>
      <c r="BH544" s="27"/>
      <c r="BI544" s="27"/>
      <c r="BJ544" s="27"/>
      <c r="BK544" s="27"/>
      <c r="BL544" s="27"/>
      <c r="BM544" s="27"/>
    </row>
    <row r="545">
      <c r="I545" s="27"/>
      <c r="J545" s="27"/>
      <c r="K545" s="27"/>
      <c r="L545" s="27"/>
      <c r="M545" s="28"/>
      <c r="N545" s="29"/>
      <c r="O545" s="29"/>
      <c r="P545" s="29"/>
      <c r="Q545" s="27"/>
      <c r="R545" s="27"/>
      <c r="S545" s="27"/>
      <c r="T545" s="27"/>
      <c r="U545" s="27"/>
      <c r="V545" s="27"/>
      <c r="AE545" s="27"/>
      <c r="AF545" s="27"/>
      <c r="AG545" s="27"/>
      <c r="AH545" s="27"/>
      <c r="AI545" s="28"/>
      <c r="AJ545" s="29"/>
      <c r="AK545" s="29"/>
      <c r="AL545" s="27"/>
      <c r="AM545" s="27"/>
      <c r="AN545" s="27"/>
      <c r="AO545" s="27"/>
      <c r="AP545" s="27"/>
      <c r="AY545" s="27"/>
      <c r="AZ545" s="27"/>
      <c r="BA545" s="27"/>
      <c r="BB545" s="27"/>
      <c r="BC545" s="28"/>
      <c r="BD545" s="29"/>
      <c r="BE545" s="29"/>
      <c r="BF545" s="27"/>
      <c r="BG545" s="27"/>
      <c r="BH545" s="27"/>
      <c r="BI545" s="27"/>
      <c r="BJ545" s="27"/>
      <c r="BK545" s="27"/>
      <c r="BL545" s="27"/>
      <c r="BM545" s="27"/>
    </row>
    <row r="546">
      <c r="I546" s="27"/>
      <c r="J546" s="27"/>
      <c r="K546" s="27"/>
      <c r="L546" s="27"/>
      <c r="M546" s="28"/>
      <c r="N546" s="29"/>
      <c r="O546" s="29"/>
      <c r="P546" s="29"/>
      <c r="Q546" s="27"/>
      <c r="R546" s="27"/>
      <c r="S546" s="27"/>
      <c r="T546" s="27"/>
      <c r="U546" s="27"/>
      <c r="V546" s="27"/>
      <c r="AE546" s="27"/>
      <c r="AF546" s="27"/>
      <c r="AG546" s="27"/>
      <c r="AH546" s="27"/>
      <c r="AI546" s="28"/>
      <c r="AJ546" s="29"/>
      <c r="AK546" s="29"/>
      <c r="AL546" s="27"/>
      <c r="AM546" s="27"/>
      <c r="AN546" s="27"/>
      <c r="AO546" s="27"/>
      <c r="AP546" s="27"/>
      <c r="AY546" s="27"/>
      <c r="AZ546" s="27"/>
      <c r="BA546" s="27"/>
      <c r="BB546" s="27"/>
      <c r="BC546" s="28"/>
      <c r="BD546" s="29"/>
      <c r="BE546" s="29"/>
      <c r="BF546" s="27"/>
      <c r="BG546" s="27"/>
      <c r="BH546" s="27"/>
      <c r="BI546" s="27"/>
      <c r="BJ546" s="27"/>
      <c r="BK546" s="27"/>
      <c r="BL546" s="27"/>
      <c r="BM546" s="27"/>
    </row>
    <row r="547">
      <c r="I547" s="27"/>
      <c r="J547" s="27"/>
      <c r="K547" s="27"/>
      <c r="L547" s="27"/>
      <c r="M547" s="28"/>
      <c r="N547" s="29"/>
      <c r="O547" s="29"/>
      <c r="P547" s="29"/>
      <c r="Q547" s="27"/>
      <c r="R547" s="27"/>
      <c r="S547" s="27"/>
      <c r="T547" s="27"/>
      <c r="U547" s="27"/>
      <c r="V547" s="27"/>
      <c r="AE547" s="27"/>
      <c r="AF547" s="27"/>
      <c r="AG547" s="27"/>
      <c r="AH547" s="27"/>
      <c r="AI547" s="28"/>
      <c r="AJ547" s="29"/>
      <c r="AK547" s="29"/>
      <c r="AL547" s="27"/>
      <c r="AM547" s="27"/>
      <c r="AN547" s="27"/>
      <c r="AO547" s="27"/>
      <c r="AP547" s="27"/>
      <c r="AY547" s="27"/>
      <c r="AZ547" s="27"/>
      <c r="BA547" s="27"/>
      <c r="BB547" s="27"/>
      <c r="BC547" s="28"/>
      <c r="BD547" s="29"/>
      <c r="BE547" s="29"/>
      <c r="BF547" s="27"/>
      <c r="BG547" s="27"/>
      <c r="BH547" s="27"/>
      <c r="BI547" s="27"/>
      <c r="BJ547" s="27"/>
      <c r="BK547" s="27"/>
      <c r="BL547" s="27"/>
      <c r="BM547" s="27"/>
    </row>
    <row r="548">
      <c r="I548" s="27"/>
      <c r="J548" s="27"/>
      <c r="K548" s="27"/>
      <c r="L548" s="27"/>
      <c r="M548" s="28"/>
      <c r="N548" s="29"/>
      <c r="O548" s="29"/>
      <c r="P548" s="29"/>
      <c r="Q548" s="27"/>
      <c r="R548" s="27"/>
      <c r="S548" s="27"/>
      <c r="T548" s="27"/>
      <c r="U548" s="27"/>
      <c r="V548" s="27"/>
      <c r="AE548" s="27"/>
      <c r="AF548" s="27"/>
      <c r="AG548" s="27"/>
      <c r="AH548" s="27"/>
      <c r="AI548" s="28"/>
      <c r="AJ548" s="29"/>
      <c r="AK548" s="29"/>
      <c r="AL548" s="27"/>
      <c r="AM548" s="27"/>
      <c r="AN548" s="27"/>
      <c r="AO548" s="27"/>
      <c r="AP548" s="27"/>
      <c r="AY548" s="27"/>
      <c r="AZ548" s="27"/>
      <c r="BA548" s="27"/>
      <c r="BB548" s="27"/>
      <c r="BC548" s="28"/>
      <c r="BD548" s="29"/>
      <c r="BE548" s="29"/>
      <c r="BF548" s="27"/>
      <c r="BG548" s="27"/>
      <c r="BH548" s="27"/>
      <c r="BI548" s="27"/>
      <c r="BJ548" s="27"/>
      <c r="BK548" s="27"/>
      <c r="BL548" s="27"/>
      <c r="BM548" s="27"/>
    </row>
    <row r="549">
      <c r="I549" s="27"/>
      <c r="J549" s="27"/>
      <c r="K549" s="27"/>
      <c r="L549" s="27"/>
      <c r="M549" s="28"/>
      <c r="N549" s="29"/>
      <c r="O549" s="29"/>
      <c r="P549" s="29"/>
      <c r="Q549" s="27"/>
      <c r="R549" s="27"/>
      <c r="S549" s="27"/>
      <c r="T549" s="27"/>
      <c r="U549" s="27"/>
      <c r="V549" s="27"/>
      <c r="AE549" s="27"/>
      <c r="AF549" s="27"/>
      <c r="AG549" s="27"/>
      <c r="AH549" s="27"/>
      <c r="AI549" s="28"/>
      <c r="AJ549" s="29"/>
      <c r="AK549" s="29"/>
      <c r="AL549" s="27"/>
      <c r="AM549" s="27"/>
      <c r="AN549" s="27"/>
      <c r="AO549" s="27"/>
      <c r="AP549" s="27"/>
      <c r="AY549" s="27"/>
      <c r="AZ549" s="27"/>
      <c r="BA549" s="27"/>
      <c r="BB549" s="27"/>
      <c r="BC549" s="28"/>
      <c r="BD549" s="29"/>
      <c r="BE549" s="29"/>
      <c r="BF549" s="27"/>
      <c r="BG549" s="27"/>
      <c r="BH549" s="27"/>
      <c r="BI549" s="27"/>
      <c r="BJ549" s="27"/>
      <c r="BK549" s="27"/>
      <c r="BL549" s="27"/>
      <c r="BM549" s="27"/>
    </row>
    <row r="550">
      <c r="I550" s="27"/>
      <c r="J550" s="27"/>
      <c r="K550" s="27"/>
      <c r="L550" s="27"/>
      <c r="M550" s="28"/>
      <c r="N550" s="29"/>
      <c r="O550" s="29"/>
      <c r="P550" s="29"/>
      <c r="Q550" s="27"/>
      <c r="R550" s="27"/>
      <c r="S550" s="27"/>
      <c r="T550" s="27"/>
      <c r="U550" s="27"/>
      <c r="V550" s="27"/>
      <c r="AE550" s="27"/>
      <c r="AF550" s="27"/>
      <c r="AG550" s="27"/>
      <c r="AH550" s="27"/>
      <c r="AI550" s="28"/>
      <c r="AJ550" s="29"/>
      <c r="AK550" s="29"/>
      <c r="AL550" s="27"/>
      <c r="AM550" s="27"/>
      <c r="AN550" s="27"/>
      <c r="AO550" s="27"/>
      <c r="AP550" s="27"/>
      <c r="AY550" s="27"/>
      <c r="AZ550" s="27"/>
      <c r="BA550" s="27"/>
      <c r="BB550" s="27"/>
      <c r="BC550" s="28"/>
      <c r="BD550" s="29"/>
      <c r="BE550" s="29"/>
      <c r="BF550" s="27"/>
      <c r="BG550" s="27"/>
      <c r="BH550" s="27"/>
      <c r="BI550" s="27"/>
      <c r="BJ550" s="27"/>
      <c r="BK550" s="27"/>
      <c r="BL550" s="27"/>
      <c r="BM550" s="27"/>
    </row>
    <row r="551">
      <c r="I551" s="27"/>
      <c r="J551" s="27"/>
      <c r="K551" s="27"/>
      <c r="L551" s="27"/>
      <c r="M551" s="28"/>
      <c r="N551" s="29"/>
      <c r="O551" s="29"/>
      <c r="P551" s="29"/>
      <c r="Q551" s="27"/>
      <c r="R551" s="27"/>
      <c r="S551" s="27"/>
      <c r="T551" s="27"/>
      <c r="U551" s="27"/>
      <c r="V551" s="27"/>
      <c r="AE551" s="27"/>
      <c r="AF551" s="27"/>
      <c r="AG551" s="27"/>
      <c r="AH551" s="27"/>
      <c r="AI551" s="28"/>
      <c r="AJ551" s="29"/>
      <c r="AK551" s="29"/>
      <c r="AL551" s="27"/>
      <c r="AM551" s="27"/>
      <c r="AN551" s="27"/>
      <c r="AO551" s="27"/>
      <c r="AP551" s="27"/>
      <c r="AY551" s="27"/>
      <c r="AZ551" s="27"/>
      <c r="BA551" s="27"/>
      <c r="BB551" s="27"/>
      <c r="BC551" s="28"/>
      <c r="BD551" s="29"/>
      <c r="BE551" s="29"/>
      <c r="BF551" s="27"/>
      <c r="BG551" s="27"/>
      <c r="BH551" s="27"/>
      <c r="BI551" s="27"/>
      <c r="BJ551" s="27"/>
      <c r="BK551" s="27"/>
      <c r="BL551" s="27"/>
      <c r="BM551" s="27"/>
    </row>
    <row r="552">
      <c r="I552" s="27"/>
      <c r="J552" s="27"/>
      <c r="K552" s="27"/>
      <c r="L552" s="27"/>
      <c r="M552" s="28"/>
      <c r="N552" s="29"/>
      <c r="O552" s="29"/>
      <c r="P552" s="29"/>
      <c r="Q552" s="27"/>
      <c r="R552" s="27"/>
      <c r="S552" s="27"/>
      <c r="T552" s="27"/>
      <c r="U552" s="27"/>
      <c r="V552" s="27"/>
      <c r="AE552" s="27"/>
      <c r="AF552" s="27"/>
      <c r="AG552" s="27"/>
      <c r="AH552" s="27"/>
      <c r="AI552" s="28"/>
      <c r="AJ552" s="29"/>
      <c r="AK552" s="29"/>
      <c r="AL552" s="27"/>
      <c r="AM552" s="27"/>
      <c r="AN552" s="27"/>
      <c r="AO552" s="27"/>
      <c r="AP552" s="27"/>
      <c r="AY552" s="27"/>
      <c r="AZ552" s="27"/>
      <c r="BA552" s="27"/>
      <c r="BB552" s="27"/>
      <c r="BC552" s="28"/>
      <c r="BD552" s="29"/>
      <c r="BE552" s="29"/>
      <c r="BF552" s="27"/>
      <c r="BG552" s="27"/>
      <c r="BH552" s="27"/>
      <c r="BI552" s="27"/>
      <c r="BJ552" s="27"/>
      <c r="BK552" s="27"/>
      <c r="BL552" s="27"/>
      <c r="BM552" s="27"/>
    </row>
    <row r="553">
      <c r="I553" s="27"/>
      <c r="J553" s="27"/>
      <c r="K553" s="27"/>
      <c r="L553" s="27"/>
      <c r="M553" s="28"/>
      <c r="N553" s="29"/>
      <c r="O553" s="29"/>
      <c r="P553" s="29"/>
      <c r="Q553" s="27"/>
      <c r="R553" s="27"/>
      <c r="S553" s="27"/>
      <c r="T553" s="27"/>
      <c r="U553" s="27"/>
      <c r="V553" s="27"/>
      <c r="AE553" s="27"/>
      <c r="AF553" s="27"/>
      <c r="AG553" s="27"/>
      <c r="AH553" s="27"/>
      <c r="AI553" s="28"/>
      <c r="AJ553" s="29"/>
      <c r="AK553" s="29"/>
      <c r="AL553" s="27"/>
      <c r="AM553" s="27"/>
      <c r="AN553" s="27"/>
      <c r="AO553" s="27"/>
      <c r="AP553" s="27"/>
      <c r="AY553" s="27"/>
      <c r="AZ553" s="27"/>
      <c r="BA553" s="27"/>
      <c r="BB553" s="27"/>
      <c r="BC553" s="28"/>
      <c r="BD553" s="29"/>
      <c r="BE553" s="29"/>
      <c r="BF553" s="27"/>
      <c r="BG553" s="27"/>
      <c r="BH553" s="27"/>
      <c r="BI553" s="27"/>
      <c r="BJ553" s="27"/>
      <c r="BK553" s="27"/>
      <c r="BL553" s="27"/>
      <c r="BM553" s="27"/>
    </row>
    <row r="554">
      <c r="I554" s="27"/>
      <c r="J554" s="27"/>
      <c r="K554" s="27"/>
      <c r="L554" s="27"/>
      <c r="M554" s="28"/>
      <c r="N554" s="29"/>
      <c r="O554" s="29"/>
      <c r="P554" s="29"/>
      <c r="Q554" s="27"/>
      <c r="R554" s="27"/>
      <c r="S554" s="27"/>
      <c r="T554" s="27"/>
      <c r="U554" s="27"/>
      <c r="V554" s="27"/>
      <c r="AE554" s="27"/>
      <c r="AF554" s="27"/>
      <c r="AG554" s="27"/>
      <c r="AH554" s="27"/>
      <c r="AI554" s="28"/>
      <c r="AJ554" s="29"/>
      <c r="AK554" s="29"/>
      <c r="AL554" s="27"/>
      <c r="AM554" s="27"/>
      <c r="AN554" s="27"/>
      <c r="AO554" s="27"/>
      <c r="AP554" s="27"/>
      <c r="AY554" s="27"/>
      <c r="AZ554" s="27"/>
      <c r="BA554" s="27"/>
      <c r="BB554" s="27"/>
      <c r="BC554" s="28"/>
      <c r="BD554" s="29"/>
      <c r="BE554" s="29"/>
      <c r="BF554" s="27"/>
      <c r="BG554" s="27"/>
      <c r="BH554" s="27"/>
      <c r="BI554" s="27"/>
      <c r="BJ554" s="27"/>
      <c r="BK554" s="27"/>
      <c r="BL554" s="27"/>
      <c r="BM554" s="27"/>
    </row>
    <row r="555">
      <c r="I555" s="27"/>
      <c r="J555" s="27"/>
      <c r="K555" s="27"/>
      <c r="L555" s="27"/>
      <c r="M555" s="28"/>
      <c r="N555" s="29"/>
      <c r="O555" s="29"/>
      <c r="P555" s="29"/>
      <c r="Q555" s="27"/>
      <c r="R555" s="27"/>
      <c r="S555" s="27"/>
      <c r="T555" s="27"/>
      <c r="U555" s="27"/>
      <c r="V555" s="27"/>
      <c r="AE555" s="27"/>
      <c r="AF555" s="27"/>
      <c r="AG555" s="27"/>
      <c r="AH555" s="27"/>
      <c r="AI555" s="28"/>
      <c r="AJ555" s="29"/>
      <c r="AK555" s="29"/>
      <c r="AL555" s="27"/>
      <c r="AM555" s="27"/>
      <c r="AN555" s="27"/>
      <c r="AO555" s="27"/>
      <c r="AP555" s="27"/>
      <c r="AY555" s="27"/>
      <c r="AZ555" s="27"/>
      <c r="BA555" s="27"/>
      <c r="BB555" s="27"/>
      <c r="BC555" s="28"/>
      <c r="BD555" s="29"/>
      <c r="BE555" s="29"/>
      <c r="BF555" s="27"/>
      <c r="BG555" s="27"/>
      <c r="BH555" s="27"/>
      <c r="BI555" s="27"/>
      <c r="BJ555" s="27"/>
      <c r="BK555" s="27"/>
      <c r="BL555" s="27"/>
      <c r="BM555" s="27"/>
    </row>
    <row r="556">
      <c r="I556" s="27"/>
      <c r="J556" s="27"/>
      <c r="K556" s="27"/>
      <c r="L556" s="27"/>
      <c r="M556" s="28"/>
      <c r="N556" s="29"/>
      <c r="O556" s="29"/>
      <c r="P556" s="29"/>
      <c r="Q556" s="27"/>
      <c r="R556" s="27"/>
      <c r="S556" s="27"/>
      <c r="T556" s="27"/>
      <c r="U556" s="27"/>
      <c r="V556" s="27"/>
      <c r="AE556" s="27"/>
      <c r="AF556" s="27"/>
      <c r="AG556" s="27"/>
      <c r="AH556" s="27"/>
      <c r="AI556" s="28"/>
      <c r="AJ556" s="29"/>
      <c r="AK556" s="29"/>
      <c r="AL556" s="27"/>
      <c r="AM556" s="27"/>
      <c r="AN556" s="27"/>
      <c r="AO556" s="27"/>
      <c r="AP556" s="27"/>
      <c r="AY556" s="27"/>
      <c r="AZ556" s="27"/>
      <c r="BA556" s="27"/>
      <c r="BB556" s="27"/>
      <c r="BC556" s="28"/>
      <c r="BD556" s="29"/>
      <c r="BE556" s="29"/>
      <c r="BF556" s="27"/>
      <c r="BG556" s="27"/>
      <c r="BH556" s="27"/>
      <c r="BI556" s="27"/>
      <c r="BJ556" s="27"/>
      <c r="BK556" s="27"/>
      <c r="BL556" s="27"/>
      <c r="BM556" s="27"/>
    </row>
    <row r="557">
      <c r="I557" s="27"/>
      <c r="J557" s="27"/>
      <c r="K557" s="27"/>
      <c r="L557" s="27"/>
      <c r="M557" s="28"/>
      <c r="N557" s="29"/>
      <c r="O557" s="29"/>
      <c r="P557" s="29"/>
      <c r="Q557" s="27"/>
      <c r="R557" s="27"/>
      <c r="S557" s="27"/>
      <c r="T557" s="27"/>
      <c r="U557" s="27"/>
      <c r="V557" s="27"/>
      <c r="AE557" s="27"/>
      <c r="AF557" s="27"/>
      <c r="AG557" s="27"/>
      <c r="AH557" s="27"/>
      <c r="AI557" s="28"/>
      <c r="AJ557" s="29"/>
      <c r="AK557" s="29"/>
      <c r="AL557" s="27"/>
      <c r="AM557" s="27"/>
      <c r="AN557" s="27"/>
      <c r="AO557" s="27"/>
      <c r="AP557" s="27"/>
      <c r="AY557" s="27"/>
      <c r="AZ557" s="27"/>
      <c r="BA557" s="27"/>
      <c r="BB557" s="27"/>
      <c r="BC557" s="28"/>
      <c r="BD557" s="29"/>
      <c r="BE557" s="29"/>
      <c r="BF557" s="27"/>
      <c r="BG557" s="27"/>
      <c r="BH557" s="27"/>
      <c r="BI557" s="27"/>
      <c r="BJ557" s="27"/>
      <c r="BK557" s="27"/>
      <c r="BL557" s="27"/>
      <c r="BM557" s="27"/>
    </row>
    <row r="558">
      <c r="I558" s="27"/>
      <c r="J558" s="27"/>
      <c r="K558" s="27"/>
      <c r="L558" s="27"/>
      <c r="M558" s="28"/>
      <c r="N558" s="29"/>
      <c r="O558" s="29"/>
      <c r="P558" s="29"/>
      <c r="Q558" s="27"/>
      <c r="R558" s="27"/>
      <c r="S558" s="27"/>
      <c r="T558" s="27"/>
      <c r="U558" s="27"/>
      <c r="V558" s="27"/>
      <c r="AE558" s="27"/>
      <c r="AF558" s="27"/>
      <c r="AG558" s="27"/>
      <c r="AH558" s="27"/>
      <c r="AI558" s="28"/>
      <c r="AJ558" s="29"/>
      <c r="AK558" s="29"/>
      <c r="AL558" s="27"/>
      <c r="AM558" s="27"/>
      <c r="AN558" s="27"/>
      <c r="AO558" s="27"/>
      <c r="AP558" s="27"/>
      <c r="AY558" s="27"/>
      <c r="AZ558" s="27"/>
      <c r="BA558" s="27"/>
      <c r="BB558" s="27"/>
      <c r="BC558" s="28"/>
      <c r="BD558" s="29"/>
      <c r="BE558" s="29"/>
      <c r="BF558" s="27"/>
      <c r="BG558" s="27"/>
      <c r="BH558" s="27"/>
      <c r="BI558" s="27"/>
      <c r="BJ558" s="27"/>
      <c r="BK558" s="27"/>
      <c r="BL558" s="27"/>
      <c r="BM558" s="27"/>
    </row>
    <row r="559">
      <c r="I559" s="27"/>
      <c r="J559" s="27"/>
      <c r="K559" s="27"/>
      <c r="L559" s="27"/>
      <c r="M559" s="28"/>
      <c r="N559" s="29"/>
      <c r="O559" s="29"/>
      <c r="P559" s="29"/>
      <c r="Q559" s="27"/>
      <c r="R559" s="27"/>
      <c r="S559" s="27"/>
      <c r="T559" s="27"/>
      <c r="U559" s="27"/>
      <c r="V559" s="27"/>
      <c r="AE559" s="27"/>
      <c r="AF559" s="27"/>
      <c r="AG559" s="27"/>
      <c r="AH559" s="27"/>
      <c r="AI559" s="28"/>
      <c r="AJ559" s="29"/>
      <c r="AK559" s="29"/>
      <c r="AL559" s="27"/>
      <c r="AM559" s="27"/>
      <c r="AN559" s="27"/>
      <c r="AO559" s="27"/>
      <c r="AP559" s="27"/>
      <c r="AY559" s="27"/>
      <c r="AZ559" s="27"/>
      <c r="BA559" s="27"/>
      <c r="BB559" s="27"/>
      <c r="BC559" s="28"/>
      <c r="BD559" s="29"/>
      <c r="BE559" s="29"/>
      <c r="BF559" s="27"/>
      <c r="BG559" s="27"/>
      <c r="BH559" s="27"/>
      <c r="BI559" s="27"/>
      <c r="BJ559" s="27"/>
      <c r="BK559" s="27"/>
      <c r="BL559" s="27"/>
      <c r="BM559" s="27"/>
    </row>
    <row r="560">
      <c r="I560" s="27"/>
      <c r="J560" s="27"/>
      <c r="K560" s="27"/>
      <c r="L560" s="27"/>
      <c r="M560" s="28"/>
      <c r="N560" s="29"/>
      <c r="O560" s="29"/>
      <c r="P560" s="29"/>
      <c r="Q560" s="27"/>
      <c r="R560" s="27"/>
      <c r="S560" s="27"/>
      <c r="T560" s="27"/>
      <c r="U560" s="27"/>
      <c r="V560" s="27"/>
      <c r="AE560" s="27"/>
      <c r="AF560" s="27"/>
      <c r="AG560" s="27"/>
      <c r="AH560" s="27"/>
      <c r="AI560" s="28"/>
      <c r="AJ560" s="29"/>
      <c r="AK560" s="29"/>
      <c r="AL560" s="27"/>
      <c r="AM560" s="27"/>
      <c r="AN560" s="27"/>
      <c r="AO560" s="27"/>
      <c r="AP560" s="27"/>
      <c r="AY560" s="27"/>
      <c r="AZ560" s="27"/>
      <c r="BA560" s="27"/>
      <c r="BB560" s="27"/>
      <c r="BC560" s="28"/>
      <c r="BD560" s="29"/>
      <c r="BE560" s="29"/>
      <c r="BF560" s="27"/>
      <c r="BG560" s="27"/>
      <c r="BH560" s="27"/>
      <c r="BI560" s="27"/>
      <c r="BJ560" s="27"/>
      <c r="BK560" s="27"/>
      <c r="BL560" s="27"/>
      <c r="BM560" s="27"/>
    </row>
    <row r="561">
      <c r="I561" s="27"/>
      <c r="J561" s="27"/>
      <c r="K561" s="27"/>
      <c r="L561" s="27"/>
      <c r="M561" s="28"/>
      <c r="N561" s="29"/>
      <c r="O561" s="29"/>
      <c r="P561" s="29"/>
      <c r="Q561" s="27"/>
      <c r="R561" s="27"/>
      <c r="S561" s="27"/>
      <c r="T561" s="27"/>
      <c r="U561" s="27"/>
      <c r="V561" s="27"/>
      <c r="AE561" s="27"/>
      <c r="AF561" s="27"/>
      <c r="AG561" s="27"/>
      <c r="AH561" s="27"/>
      <c r="AI561" s="28"/>
      <c r="AJ561" s="29"/>
      <c r="AK561" s="29"/>
      <c r="AL561" s="27"/>
      <c r="AM561" s="27"/>
      <c r="AN561" s="27"/>
      <c r="AO561" s="27"/>
      <c r="AP561" s="27"/>
      <c r="AY561" s="27"/>
      <c r="AZ561" s="27"/>
      <c r="BA561" s="27"/>
      <c r="BB561" s="27"/>
      <c r="BC561" s="28"/>
      <c r="BD561" s="29"/>
      <c r="BE561" s="29"/>
      <c r="BF561" s="27"/>
      <c r="BG561" s="27"/>
      <c r="BH561" s="27"/>
      <c r="BI561" s="27"/>
      <c r="BJ561" s="27"/>
      <c r="BK561" s="27"/>
      <c r="BL561" s="27"/>
      <c r="BM561" s="27"/>
    </row>
    <row r="562">
      <c r="I562" s="27"/>
      <c r="J562" s="27"/>
      <c r="K562" s="27"/>
      <c r="L562" s="27"/>
      <c r="M562" s="28"/>
      <c r="N562" s="29"/>
      <c r="O562" s="29"/>
      <c r="P562" s="29"/>
      <c r="Q562" s="27"/>
      <c r="R562" s="27"/>
      <c r="S562" s="27"/>
      <c r="T562" s="27"/>
      <c r="U562" s="27"/>
      <c r="V562" s="27"/>
      <c r="AE562" s="27"/>
      <c r="AF562" s="27"/>
      <c r="AG562" s="27"/>
      <c r="AH562" s="27"/>
      <c r="AI562" s="28"/>
      <c r="AJ562" s="29"/>
      <c r="AK562" s="29"/>
      <c r="AL562" s="27"/>
      <c r="AM562" s="27"/>
      <c r="AN562" s="27"/>
      <c r="AO562" s="27"/>
      <c r="AP562" s="27"/>
      <c r="AY562" s="27"/>
      <c r="AZ562" s="27"/>
      <c r="BA562" s="27"/>
      <c r="BB562" s="27"/>
      <c r="BC562" s="28"/>
      <c r="BD562" s="29"/>
      <c r="BE562" s="29"/>
      <c r="BF562" s="27"/>
      <c r="BG562" s="27"/>
      <c r="BH562" s="27"/>
      <c r="BI562" s="27"/>
      <c r="BJ562" s="27"/>
      <c r="BK562" s="27"/>
      <c r="BL562" s="27"/>
      <c r="BM562" s="27"/>
    </row>
    <row r="563">
      <c r="I563" s="27"/>
      <c r="J563" s="27"/>
      <c r="K563" s="27"/>
      <c r="L563" s="27"/>
      <c r="M563" s="28"/>
      <c r="N563" s="29"/>
      <c r="O563" s="29"/>
      <c r="P563" s="29"/>
      <c r="Q563" s="27"/>
      <c r="R563" s="27"/>
      <c r="S563" s="27"/>
      <c r="T563" s="27"/>
      <c r="U563" s="27"/>
      <c r="V563" s="27"/>
      <c r="AE563" s="27"/>
      <c r="AF563" s="27"/>
      <c r="AG563" s="27"/>
      <c r="AH563" s="27"/>
      <c r="AI563" s="28"/>
      <c r="AJ563" s="29"/>
      <c r="AK563" s="29"/>
      <c r="AL563" s="27"/>
      <c r="AM563" s="27"/>
      <c r="AN563" s="27"/>
      <c r="AO563" s="27"/>
      <c r="AP563" s="27"/>
      <c r="AY563" s="27"/>
      <c r="AZ563" s="27"/>
      <c r="BA563" s="27"/>
      <c r="BB563" s="27"/>
      <c r="BC563" s="28"/>
      <c r="BD563" s="29"/>
      <c r="BE563" s="29"/>
      <c r="BF563" s="27"/>
      <c r="BG563" s="27"/>
      <c r="BH563" s="27"/>
      <c r="BI563" s="27"/>
      <c r="BJ563" s="27"/>
      <c r="BK563" s="27"/>
      <c r="BL563" s="27"/>
      <c r="BM563" s="27"/>
    </row>
    <row r="564">
      <c r="I564" s="27"/>
      <c r="J564" s="27"/>
      <c r="K564" s="27"/>
      <c r="L564" s="27"/>
      <c r="M564" s="28"/>
      <c r="N564" s="29"/>
      <c r="O564" s="29"/>
      <c r="P564" s="29"/>
      <c r="Q564" s="27"/>
      <c r="R564" s="27"/>
      <c r="S564" s="27"/>
      <c r="T564" s="27"/>
      <c r="U564" s="27"/>
      <c r="V564" s="27"/>
      <c r="AE564" s="27"/>
      <c r="AF564" s="27"/>
      <c r="AG564" s="27"/>
      <c r="AH564" s="27"/>
      <c r="AI564" s="28"/>
      <c r="AJ564" s="29"/>
      <c r="AK564" s="29"/>
      <c r="AL564" s="27"/>
      <c r="AM564" s="27"/>
      <c r="AN564" s="27"/>
      <c r="AO564" s="27"/>
      <c r="AP564" s="27"/>
      <c r="AY564" s="27"/>
      <c r="AZ564" s="27"/>
      <c r="BA564" s="27"/>
      <c r="BB564" s="27"/>
      <c r="BC564" s="28"/>
      <c r="BD564" s="29"/>
      <c r="BE564" s="29"/>
      <c r="BF564" s="27"/>
      <c r="BG564" s="27"/>
      <c r="BH564" s="27"/>
      <c r="BI564" s="27"/>
      <c r="BJ564" s="27"/>
      <c r="BK564" s="27"/>
      <c r="BL564" s="27"/>
      <c r="BM564" s="27"/>
    </row>
    <row r="565">
      <c r="I565" s="27"/>
      <c r="J565" s="27"/>
      <c r="K565" s="27"/>
      <c r="L565" s="27"/>
      <c r="M565" s="28"/>
      <c r="N565" s="29"/>
      <c r="O565" s="29"/>
      <c r="P565" s="29"/>
      <c r="Q565" s="27"/>
      <c r="R565" s="27"/>
      <c r="S565" s="27"/>
      <c r="T565" s="27"/>
      <c r="U565" s="27"/>
      <c r="V565" s="27"/>
      <c r="AE565" s="27"/>
      <c r="AF565" s="27"/>
      <c r="AG565" s="27"/>
      <c r="AH565" s="27"/>
      <c r="AI565" s="28"/>
      <c r="AJ565" s="29"/>
      <c r="AK565" s="29"/>
      <c r="AL565" s="27"/>
      <c r="AM565" s="27"/>
      <c r="AN565" s="27"/>
      <c r="AO565" s="27"/>
      <c r="AP565" s="27"/>
      <c r="AY565" s="27"/>
      <c r="AZ565" s="27"/>
      <c r="BA565" s="27"/>
      <c r="BB565" s="27"/>
      <c r="BC565" s="28"/>
      <c r="BD565" s="29"/>
      <c r="BE565" s="29"/>
      <c r="BF565" s="27"/>
      <c r="BG565" s="27"/>
      <c r="BH565" s="27"/>
      <c r="BI565" s="27"/>
      <c r="BJ565" s="27"/>
      <c r="BK565" s="27"/>
      <c r="BL565" s="27"/>
      <c r="BM565" s="27"/>
    </row>
    <row r="566">
      <c r="I566" s="27"/>
      <c r="J566" s="27"/>
      <c r="K566" s="27"/>
      <c r="L566" s="27"/>
      <c r="M566" s="28"/>
      <c r="N566" s="29"/>
      <c r="O566" s="29"/>
      <c r="P566" s="29"/>
      <c r="Q566" s="27"/>
      <c r="R566" s="27"/>
      <c r="S566" s="27"/>
      <c r="T566" s="27"/>
      <c r="U566" s="27"/>
      <c r="V566" s="27"/>
      <c r="AE566" s="27"/>
      <c r="AF566" s="27"/>
      <c r="AG566" s="27"/>
      <c r="AH566" s="27"/>
      <c r="AI566" s="28"/>
      <c r="AJ566" s="29"/>
      <c r="AK566" s="29"/>
      <c r="AL566" s="27"/>
      <c r="AM566" s="27"/>
      <c r="AN566" s="27"/>
      <c r="AO566" s="27"/>
      <c r="AP566" s="27"/>
      <c r="AY566" s="27"/>
      <c r="AZ566" s="27"/>
      <c r="BA566" s="27"/>
      <c r="BB566" s="27"/>
      <c r="BC566" s="28"/>
      <c r="BD566" s="29"/>
      <c r="BE566" s="29"/>
      <c r="BF566" s="27"/>
      <c r="BG566" s="27"/>
      <c r="BH566" s="27"/>
      <c r="BI566" s="27"/>
      <c r="BJ566" s="27"/>
      <c r="BK566" s="27"/>
      <c r="BL566" s="27"/>
      <c r="BM566" s="27"/>
    </row>
    <row r="567">
      <c r="I567" s="27"/>
      <c r="J567" s="27"/>
      <c r="K567" s="27"/>
      <c r="L567" s="27"/>
      <c r="M567" s="28"/>
      <c r="N567" s="29"/>
      <c r="O567" s="29"/>
      <c r="P567" s="29"/>
      <c r="Q567" s="27"/>
      <c r="R567" s="27"/>
      <c r="S567" s="27"/>
      <c r="T567" s="27"/>
      <c r="U567" s="27"/>
      <c r="V567" s="27"/>
      <c r="AE567" s="27"/>
      <c r="AF567" s="27"/>
      <c r="AG567" s="27"/>
      <c r="AH567" s="27"/>
      <c r="AI567" s="28"/>
      <c r="AJ567" s="29"/>
      <c r="AK567" s="29"/>
      <c r="AL567" s="27"/>
      <c r="AM567" s="27"/>
      <c r="AN567" s="27"/>
      <c r="AO567" s="27"/>
      <c r="AP567" s="27"/>
      <c r="AY567" s="27"/>
      <c r="AZ567" s="27"/>
      <c r="BA567" s="27"/>
      <c r="BB567" s="27"/>
      <c r="BC567" s="28"/>
      <c r="BD567" s="29"/>
      <c r="BE567" s="29"/>
      <c r="BF567" s="27"/>
      <c r="BG567" s="27"/>
      <c r="BH567" s="27"/>
      <c r="BI567" s="27"/>
      <c r="BJ567" s="27"/>
      <c r="BK567" s="27"/>
      <c r="BL567" s="27"/>
      <c r="BM567" s="27"/>
    </row>
    <row r="568">
      <c r="I568" s="27"/>
      <c r="J568" s="27"/>
      <c r="K568" s="27"/>
      <c r="L568" s="27"/>
      <c r="M568" s="28"/>
      <c r="N568" s="29"/>
      <c r="O568" s="29"/>
      <c r="P568" s="29"/>
      <c r="Q568" s="27"/>
      <c r="R568" s="27"/>
      <c r="S568" s="27"/>
      <c r="T568" s="27"/>
      <c r="U568" s="27"/>
      <c r="V568" s="27"/>
      <c r="AE568" s="27"/>
      <c r="AF568" s="27"/>
      <c r="AG568" s="27"/>
      <c r="AH568" s="27"/>
      <c r="AI568" s="28"/>
      <c r="AJ568" s="29"/>
      <c r="AK568" s="29"/>
      <c r="AL568" s="27"/>
      <c r="AM568" s="27"/>
      <c r="AN568" s="27"/>
      <c r="AO568" s="27"/>
      <c r="AP568" s="27"/>
      <c r="AY568" s="27"/>
      <c r="AZ568" s="27"/>
      <c r="BA568" s="27"/>
      <c r="BB568" s="27"/>
      <c r="BC568" s="28"/>
      <c r="BD568" s="29"/>
      <c r="BE568" s="29"/>
      <c r="BF568" s="27"/>
      <c r="BG568" s="27"/>
      <c r="BH568" s="27"/>
      <c r="BI568" s="27"/>
      <c r="BJ568" s="27"/>
      <c r="BK568" s="27"/>
      <c r="BL568" s="27"/>
      <c r="BM568" s="27"/>
    </row>
    <row r="569">
      <c r="I569" s="27"/>
      <c r="J569" s="27"/>
      <c r="K569" s="27"/>
      <c r="L569" s="27"/>
      <c r="M569" s="28"/>
      <c r="N569" s="29"/>
      <c r="O569" s="29"/>
      <c r="P569" s="29"/>
      <c r="Q569" s="27"/>
      <c r="R569" s="27"/>
      <c r="S569" s="27"/>
      <c r="T569" s="27"/>
      <c r="U569" s="27"/>
      <c r="V569" s="27"/>
      <c r="AE569" s="27"/>
      <c r="AF569" s="27"/>
      <c r="AG569" s="27"/>
      <c r="AH569" s="27"/>
      <c r="AI569" s="28"/>
      <c r="AJ569" s="29"/>
      <c r="AK569" s="29"/>
      <c r="AL569" s="27"/>
      <c r="AM569" s="27"/>
      <c r="AN569" s="27"/>
      <c r="AO569" s="27"/>
      <c r="AP569" s="27"/>
      <c r="AY569" s="27"/>
      <c r="AZ569" s="27"/>
      <c r="BA569" s="27"/>
      <c r="BB569" s="27"/>
      <c r="BC569" s="28"/>
      <c r="BD569" s="29"/>
      <c r="BE569" s="29"/>
      <c r="BF569" s="27"/>
      <c r="BG569" s="27"/>
      <c r="BH569" s="27"/>
      <c r="BI569" s="27"/>
      <c r="BJ569" s="27"/>
      <c r="BK569" s="27"/>
      <c r="BL569" s="27"/>
      <c r="BM569" s="27"/>
    </row>
    <row r="570">
      <c r="I570" s="27"/>
      <c r="J570" s="27"/>
      <c r="K570" s="27"/>
      <c r="L570" s="27"/>
      <c r="M570" s="28"/>
      <c r="N570" s="29"/>
      <c r="O570" s="29"/>
      <c r="P570" s="29"/>
      <c r="Q570" s="27"/>
      <c r="R570" s="27"/>
      <c r="S570" s="27"/>
      <c r="T570" s="27"/>
      <c r="U570" s="27"/>
      <c r="V570" s="27"/>
      <c r="AE570" s="27"/>
      <c r="AF570" s="27"/>
      <c r="AG570" s="27"/>
      <c r="AH570" s="27"/>
      <c r="AI570" s="28"/>
      <c r="AJ570" s="29"/>
      <c r="AK570" s="29"/>
      <c r="AL570" s="27"/>
      <c r="AM570" s="27"/>
      <c r="AN570" s="27"/>
      <c r="AO570" s="27"/>
      <c r="AP570" s="27"/>
      <c r="AY570" s="27"/>
      <c r="AZ570" s="27"/>
      <c r="BA570" s="27"/>
      <c r="BB570" s="27"/>
      <c r="BC570" s="28"/>
      <c r="BD570" s="29"/>
      <c r="BE570" s="29"/>
      <c r="BF570" s="27"/>
      <c r="BG570" s="27"/>
      <c r="BH570" s="27"/>
      <c r="BI570" s="27"/>
      <c r="BJ570" s="27"/>
      <c r="BK570" s="27"/>
      <c r="BL570" s="27"/>
      <c r="BM570" s="27"/>
    </row>
    <row r="571">
      <c r="I571" s="27"/>
      <c r="J571" s="27"/>
      <c r="K571" s="27"/>
      <c r="L571" s="27"/>
      <c r="M571" s="28"/>
      <c r="N571" s="29"/>
      <c r="O571" s="29"/>
      <c r="P571" s="29"/>
      <c r="Q571" s="27"/>
      <c r="R571" s="27"/>
      <c r="S571" s="27"/>
      <c r="T571" s="27"/>
      <c r="U571" s="27"/>
      <c r="V571" s="27"/>
      <c r="AE571" s="27"/>
      <c r="AF571" s="27"/>
      <c r="AG571" s="27"/>
      <c r="AH571" s="27"/>
      <c r="AI571" s="28"/>
      <c r="AJ571" s="29"/>
      <c r="AK571" s="29"/>
      <c r="AL571" s="27"/>
      <c r="AM571" s="27"/>
      <c r="AN571" s="27"/>
      <c r="AO571" s="27"/>
      <c r="AP571" s="27"/>
      <c r="AY571" s="27"/>
      <c r="AZ571" s="27"/>
      <c r="BA571" s="27"/>
      <c r="BB571" s="27"/>
      <c r="BC571" s="28"/>
      <c r="BD571" s="29"/>
      <c r="BE571" s="29"/>
      <c r="BF571" s="27"/>
      <c r="BG571" s="27"/>
      <c r="BH571" s="27"/>
      <c r="BI571" s="27"/>
      <c r="BJ571" s="27"/>
      <c r="BK571" s="27"/>
      <c r="BL571" s="27"/>
      <c r="BM571" s="27"/>
    </row>
    <row r="572">
      <c r="I572" s="27"/>
      <c r="J572" s="27"/>
      <c r="K572" s="27"/>
      <c r="L572" s="27"/>
      <c r="M572" s="28"/>
      <c r="N572" s="29"/>
      <c r="O572" s="29"/>
      <c r="P572" s="29"/>
      <c r="Q572" s="27"/>
      <c r="R572" s="27"/>
      <c r="S572" s="27"/>
      <c r="T572" s="27"/>
      <c r="U572" s="27"/>
      <c r="V572" s="27"/>
      <c r="AE572" s="27"/>
      <c r="AF572" s="27"/>
      <c r="AG572" s="27"/>
      <c r="AH572" s="27"/>
      <c r="AI572" s="28"/>
      <c r="AJ572" s="29"/>
      <c r="AK572" s="29"/>
      <c r="AL572" s="27"/>
      <c r="AM572" s="27"/>
      <c r="AN572" s="27"/>
      <c r="AO572" s="27"/>
      <c r="AP572" s="27"/>
      <c r="AY572" s="27"/>
      <c r="AZ572" s="27"/>
      <c r="BA572" s="27"/>
      <c r="BB572" s="27"/>
      <c r="BC572" s="28"/>
      <c r="BD572" s="29"/>
      <c r="BE572" s="29"/>
      <c r="BF572" s="27"/>
      <c r="BG572" s="27"/>
      <c r="BH572" s="27"/>
      <c r="BI572" s="27"/>
      <c r="BJ572" s="27"/>
      <c r="BK572" s="27"/>
      <c r="BL572" s="27"/>
      <c r="BM572" s="27"/>
    </row>
    <row r="573">
      <c r="I573" s="27"/>
      <c r="J573" s="27"/>
      <c r="K573" s="27"/>
      <c r="L573" s="27"/>
      <c r="M573" s="28"/>
      <c r="N573" s="29"/>
      <c r="O573" s="29"/>
      <c r="P573" s="29"/>
      <c r="Q573" s="27"/>
      <c r="R573" s="27"/>
      <c r="S573" s="27"/>
      <c r="T573" s="27"/>
      <c r="U573" s="27"/>
      <c r="V573" s="27"/>
      <c r="AE573" s="27"/>
      <c r="AF573" s="27"/>
      <c r="AG573" s="27"/>
      <c r="AH573" s="27"/>
      <c r="AI573" s="28"/>
      <c r="AJ573" s="29"/>
      <c r="AK573" s="29"/>
      <c r="AL573" s="27"/>
      <c r="AM573" s="27"/>
      <c r="AN573" s="27"/>
      <c r="AO573" s="27"/>
      <c r="AP573" s="27"/>
      <c r="AY573" s="27"/>
      <c r="AZ573" s="27"/>
      <c r="BA573" s="27"/>
      <c r="BB573" s="27"/>
      <c r="BC573" s="28"/>
      <c r="BD573" s="29"/>
      <c r="BE573" s="29"/>
      <c r="BF573" s="27"/>
      <c r="BG573" s="27"/>
      <c r="BH573" s="27"/>
      <c r="BI573" s="27"/>
      <c r="BJ573" s="27"/>
      <c r="BK573" s="27"/>
      <c r="BL573" s="27"/>
      <c r="BM573" s="27"/>
    </row>
    <row r="574">
      <c r="I574" s="27"/>
      <c r="J574" s="27"/>
      <c r="K574" s="27"/>
      <c r="L574" s="27"/>
      <c r="M574" s="28"/>
      <c r="N574" s="29"/>
      <c r="O574" s="29"/>
      <c r="P574" s="29"/>
      <c r="Q574" s="27"/>
      <c r="R574" s="27"/>
      <c r="S574" s="27"/>
      <c r="T574" s="27"/>
      <c r="U574" s="27"/>
      <c r="V574" s="27"/>
      <c r="AE574" s="27"/>
      <c r="AF574" s="27"/>
      <c r="AG574" s="27"/>
      <c r="AH574" s="27"/>
      <c r="AI574" s="28"/>
      <c r="AJ574" s="29"/>
      <c r="AK574" s="29"/>
      <c r="AL574" s="27"/>
      <c r="AM574" s="27"/>
      <c r="AN574" s="27"/>
      <c r="AO574" s="27"/>
      <c r="AP574" s="27"/>
      <c r="AY574" s="27"/>
      <c r="AZ574" s="27"/>
      <c r="BA574" s="27"/>
      <c r="BB574" s="27"/>
      <c r="BC574" s="28"/>
      <c r="BD574" s="29"/>
      <c r="BE574" s="29"/>
      <c r="BF574" s="27"/>
      <c r="BG574" s="27"/>
      <c r="BH574" s="27"/>
      <c r="BI574" s="27"/>
      <c r="BJ574" s="27"/>
      <c r="BK574" s="27"/>
      <c r="BL574" s="27"/>
      <c r="BM574" s="27"/>
    </row>
    <row r="575">
      <c r="I575" s="27"/>
      <c r="J575" s="27"/>
      <c r="K575" s="27"/>
      <c r="L575" s="27"/>
      <c r="M575" s="28"/>
      <c r="N575" s="29"/>
      <c r="O575" s="29"/>
      <c r="P575" s="29"/>
      <c r="Q575" s="27"/>
      <c r="R575" s="27"/>
      <c r="S575" s="27"/>
      <c r="T575" s="27"/>
      <c r="U575" s="27"/>
      <c r="V575" s="27"/>
      <c r="AE575" s="27"/>
      <c r="AF575" s="27"/>
      <c r="AG575" s="27"/>
      <c r="AH575" s="27"/>
      <c r="AI575" s="28"/>
      <c r="AJ575" s="29"/>
      <c r="AK575" s="29"/>
      <c r="AL575" s="27"/>
      <c r="AM575" s="27"/>
      <c r="AN575" s="27"/>
      <c r="AO575" s="27"/>
      <c r="AP575" s="27"/>
      <c r="AY575" s="27"/>
      <c r="AZ575" s="27"/>
      <c r="BA575" s="27"/>
      <c r="BB575" s="27"/>
      <c r="BC575" s="28"/>
      <c r="BD575" s="29"/>
      <c r="BE575" s="29"/>
      <c r="BF575" s="27"/>
      <c r="BG575" s="27"/>
      <c r="BH575" s="27"/>
      <c r="BI575" s="27"/>
      <c r="BJ575" s="27"/>
      <c r="BK575" s="27"/>
      <c r="BL575" s="27"/>
      <c r="BM575" s="27"/>
    </row>
    <row r="576">
      <c r="I576" s="27"/>
      <c r="J576" s="27"/>
      <c r="K576" s="27"/>
      <c r="L576" s="27"/>
      <c r="M576" s="28"/>
      <c r="N576" s="29"/>
      <c r="O576" s="29"/>
      <c r="P576" s="29"/>
      <c r="Q576" s="27"/>
      <c r="R576" s="27"/>
      <c r="S576" s="27"/>
      <c r="T576" s="27"/>
      <c r="U576" s="27"/>
      <c r="V576" s="27"/>
      <c r="AE576" s="27"/>
      <c r="AF576" s="27"/>
      <c r="AG576" s="27"/>
      <c r="AH576" s="27"/>
      <c r="AI576" s="28"/>
      <c r="AJ576" s="29"/>
      <c r="AK576" s="29"/>
      <c r="AL576" s="27"/>
      <c r="AM576" s="27"/>
      <c r="AN576" s="27"/>
      <c r="AO576" s="27"/>
      <c r="AP576" s="27"/>
      <c r="AY576" s="27"/>
      <c r="AZ576" s="27"/>
      <c r="BA576" s="27"/>
      <c r="BB576" s="27"/>
      <c r="BC576" s="28"/>
      <c r="BD576" s="29"/>
      <c r="BE576" s="29"/>
      <c r="BF576" s="27"/>
      <c r="BG576" s="27"/>
      <c r="BH576" s="27"/>
      <c r="BI576" s="27"/>
      <c r="BJ576" s="27"/>
      <c r="BK576" s="27"/>
      <c r="BL576" s="27"/>
      <c r="BM576" s="27"/>
    </row>
    <row r="577">
      <c r="I577" s="27"/>
      <c r="J577" s="27"/>
      <c r="K577" s="27"/>
      <c r="L577" s="27"/>
      <c r="M577" s="28"/>
      <c r="N577" s="29"/>
      <c r="O577" s="29"/>
      <c r="P577" s="29"/>
      <c r="Q577" s="27"/>
      <c r="R577" s="27"/>
      <c r="S577" s="27"/>
      <c r="T577" s="27"/>
      <c r="U577" s="27"/>
      <c r="V577" s="27"/>
      <c r="AE577" s="27"/>
      <c r="AF577" s="27"/>
      <c r="AG577" s="27"/>
      <c r="AH577" s="27"/>
      <c r="AI577" s="28"/>
      <c r="AJ577" s="29"/>
      <c r="AK577" s="29"/>
      <c r="AL577" s="27"/>
      <c r="AM577" s="27"/>
      <c r="AN577" s="27"/>
      <c r="AO577" s="27"/>
      <c r="AP577" s="27"/>
      <c r="AY577" s="27"/>
      <c r="AZ577" s="27"/>
      <c r="BA577" s="27"/>
      <c r="BB577" s="27"/>
      <c r="BC577" s="28"/>
      <c r="BD577" s="29"/>
      <c r="BE577" s="29"/>
      <c r="BF577" s="27"/>
      <c r="BG577" s="27"/>
      <c r="BH577" s="27"/>
      <c r="BI577" s="27"/>
      <c r="BJ577" s="27"/>
      <c r="BK577" s="27"/>
      <c r="BL577" s="27"/>
      <c r="BM577" s="27"/>
    </row>
    <row r="578">
      <c r="I578" s="27"/>
      <c r="J578" s="27"/>
      <c r="K578" s="27"/>
      <c r="L578" s="27"/>
      <c r="M578" s="28"/>
      <c r="N578" s="29"/>
      <c r="O578" s="29"/>
      <c r="P578" s="29"/>
      <c r="Q578" s="27"/>
      <c r="R578" s="27"/>
      <c r="S578" s="27"/>
      <c r="T578" s="27"/>
      <c r="U578" s="27"/>
      <c r="V578" s="27"/>
      <c r="AE578" s="27"/>
      <c r="AF578" s="27"/>
      <c r="AG578" s="27"/>
      <c r="AH578" s="27"/>
      <c r="AI578" s="28"/>
      <c r="AJ578" s="29"/>
      <c r="AK578" s="29"/>
      <c r="AL578" s="27"/>
      <c r="AM578" s="27"/>
      <c r="AN578" s="27"/>
      <c r="AO578" s="27"/>
      <c r="AP578" s="27"/>
      <c r="AY578" s="27"/>
      <c r="AZ578" s="27"/>
      <c r="BA578" s="27"/>
      <c r="BB578" s="27"/>
      <c r="BC578" s="28"/>
      <c r="BD578" s="29"/>
      <c r="BE578" s="29"/>
      <c r="BF578" s="27"/>
      <c r="BG578" s="27"/>
      <c r="BH578" s="27"/>
      <c r="BI578" s="27"/>
      <c r="BJ578" s="27"/>
      <c r="BK578" s="27"/>
      <c r="BL578" s="27"/>
      <c r="BM578" s="27"/>
    </row>
    <row r="579">
      <c r="I579" s="27"/>
      <c r="J579" s="27"/>
      <c r="K579" s="27"/>
      <c r="L579" s="27"/>
      <c r="M579" s="28"/>
      <c r="N579" s="29"/>
      <c r="O579" s="29"/>
      <c r="P579" s="29"/>
      <c r="Q579" s="27"/>
      <c r="R579" s="27"/>
      <c r="S579" s="27"/>
      <c r="T579" s="27"/>
      <c r="U579" s="27"/>
      <c r="V579" s="27"/>
      <c r="AE579" s="27"/>
      <c r="AF579" s="27"/>
      <c r="AG579" s="27"/>
      <c r="AH579" s="27"/>
      <c r="AI579" s="28"/>
      <c r="AJ579" s="29"/>
      <c r="AK579" s="29"/>
      <c r="AL579" s="27"/>
      <c r="AM579" s="27"/>
      <c r="AN579" s="27"/>
      <c r="AO579" s="27"/>
      <c r="AP579" s="27"/>
      <c r="AY579" s="27"/>
      <c r="AZ579" s="27"/>
      <c r="BA579" s="27"/>
      <c r="BB579" s="27"/>
      <c r="BC579" s="28"/>
      <c r="BD579" s="29"/>
      <c r="BE579" s="29"/>
      <c r="BF579" s="27"/>
      <c r="BG579" s="27"/>
      <c r="BH579" s="27"/>
      <c r="BI579" s="27"/>
      <c r="BJ579" s="27"/>
      <c r="BK579" s="27"/>
      <c r="BL579" s="27"/>
      <c r="BM579" s="27"/>
    </row>
    <row r="580">
      <c r="I580" s="27"/>
      <c r="J580" s="27"/>
      <c r="K580" s="27"/>
      <c r="L580" s="27"/>
      <c r="M580" s="28"/>
      <c r="N580" s="29"/>
      <c r="O580" s="29"/>
      <c r="P580" s="29"/>
      <c r="Q580" s="27"/>
      <c r="R580" s="27"/>
      <c r="S580" s="27"/>
      <c r="T580" s="27"/>
      <c r="U580" s="27"/>
      <c r="V580" s="27"/>
      <c r="AE580" s="27"/>
      <c r="AF580" s="27"/>
      <c r="AG580" s="27"/>
      <c r="AH580" s="27"/>
      <c r="AI580" s="28"/>
      <c r="AJ580" s="29"/>
      <c r="AK580" s="29"/>
      <c r="AL580" s="27"/>
      <c r="AM580" s="27"/>
      <c r="AN580" s="27"/>
      <c r="AO580" s="27"/>
      <c r="AP580" s="27"/>
      <c r="AY580" s="27"/>
      <c r="AZ580" s="27"/>
      <c r="BA580" s="27"/>
      <c r="BB580" s="27"/>
      <c r="BC580" s="28"/>
      <c r="BD580" s="29"/>
      <c r="BE580" s="29"/>
      <c r="BF580" s="27"/>
      <c r="BG580" s="27"/>
      <c r="BH580" s="27"/>
      <c r="BI580" s="27"/>
      <c r="BJ580" s="27"/>
      <c r="BK580" s="27"/>
      <c r="BL580" s="27"/>
      <c r="BM580" s="27"/>
    </row>
    <row r="581">
      <c r="I581" s="27"/>
      <c r="J581" s="27"/>
      <c r="K581" s="27"/>
      <c r="L581" s="27"/>
      <c r="M581" s="28"/>
      <c r="N581" s="29"/>
      <c r="O581" s="29"/>
      <c r="P581" s="29"/>
      <c r="Q581" s="27"/>
      <c r="R581" s="27"/>
      <c r="S581" s="27"/>
      <c r="T581" s="27"/>
      <c r="U581" s="27"/>
      <c r="V581" s="27"/>
      <c r="AE581" s="27"/>
      <c r="AF581" s="27"/>
      <c r="AG581" s="27"/>
      <c r="AH581" s="27"/>
      <c r="AI581" s="28"/>
      <c r="AJ581" s="29"/>
      <c r="AK581" s="29"/>
      <c r="AL581" s="27"/>
      <c r="AM581" s="27"/>
      <c r="AN581" s="27"/>
      <c r="AO581" s="27"/>
      <c r="AP581" s="27"/>
      <c r="AY581" s="27"/>
      <c r="AZ581" s="27"/>
      <c r="BA581" s="27"/>
      <c r="BB581" s="27"/>
      <c r="BC581" s="28"/>
      <c r="BD581" s="29"/>
      <c r="BE581" s="29"/>
      <c r="BF581" s="27"/>
      <c r="BG581" s="27"/>
      <c r="BH581" s="27"/>
      <c r="BI581" s="27"/>
      <c r="BJ581" s="27"/>
      <c r="BK581" s="27"/>
      <c r="BL581" s="27"/>
      <c r="BM581" s="27"/>
    </row>
    <row r="582">
      <c r="I582" s="27"/>
      <c r="J582" s="27"/>
      <c r="K582" s="27"/>
      <c r="L582" s="27"/>
      <c r="M582" s="28"/>
      <c r="N582" s="29"/>
      <c r="O582" s="29"/>
      <c r="P582" s="29"/>
      <c r="Q582" s="27"/>
      <c r="R582" s="27"/>
      <c r="S582" s="27"/>
      <c r="T582" s="27"/>
      <c r="U582" s="27"/>
      <c r="V582" s="27"/>
      <c r="AE582" s="27"/>
      <c r="AF582" s="27"/>
      <c r="AG582" s="27"/>
      <c r="AH582" s="27"/>
      <c r="AI582" s="28"/>
      <c r="AJ582" s="29"/>
      <c r="AK582" s="29"/>
      <c r="AL582" s="27"/>
      <c r="AM582" s="27"/>
      <c r="AN582" s="27"/>
      <c r="AO582" s="27"/>
      <c r="AP582" s="27"/>
      <c r="AY582" s="27"/>
      <c r="AZ582" s="27"/>
      <c r="BA582" s="27"/>
      <c r="BB582" s="27"/>
      <c r="BC582" s="28"/>
      <c r="BD582" s="29"/>
      <c r="BE582" s="29"/>
      <c r="BF582" s="27"/>
      <c r="BG582" s="27"/>
      <c r="BH582" s="27"/>
      <c r="BI582" s="27"/>
      <c r="BJ582" s="27"/>
      <c r="BK582" s="27"/>
      <c r="BL582" s="27"/>
      <c r="BM582" s="27"/>
    </row>
    <row r="583">
      <c r="I583" s="27"/>
      <c r="J583" s="27"/>
      <c r="K583" s="27"/>
      <c r="L583" s="27"/>
      <c r="M583" s="28"/>
      <c r="N583" s="29"/>
      <c r="O583" s="29"/>
      <c r="P583" s="29"/>
      <c r="Q583" s="27"/>
      <c r="R583" s="27"/>
      <c r="S583" s="27"/>
      <c r="T583" s="27"/>
      <c r="U583" s="27"/>
      <c r="V583" s="27"/>
      <c r="AE583" s="27"/>
      <c r="AF583" s="27"/>
      <c r="AG583" s="27"/>
      <c r="AH583" s="27"/>
      <c r="AI583" s="28"/>
      <c r="AJ583" s="29"/>
      <c r="AK583" s="29"/>
      <c r="AL583" s="27"/>
      <c r="AM583" s="27"/>
      <c r="AN583" s="27"/>
      <c r="AO583" s="27"/>
      <c r="AP583" s="27"/>
      <c r="AY583" s="27"/>
      <c r="AZ583" s="27"/>
      <c r="BA583" s="27"/>
      <c r="BB583" s="27"/>
      <c r="BC583" s="28"/>
      <c r="BD583" s="29"/>
      <c r="BE583" s="29"/>
      <c r="BF583" s="27"/>
      <c r="BG583" s="27"/>
      <c r="BH583" s="27"/>
      <c r="BI583" s="27"/>
      <c r="BJ583" s="27"/>
      <c r="BK583" s="27"/>
      <c r="BL583" s="27"/>
      <c r="BM583" s="27"/>
    </row>
    <row r="584">
      <c r="I584" s="27"/>
      <c r="J584" s="27"/>
      <c r="K584" s="27"/>
      <c r="L584" s="27"/>
      <c r="M584" s="28"/>
      <c r="N584" s="29"/>
      <c r="O584" s="29"/>
      <c r="P584" s="29"/>
      <c r="Q584" s="27"/>
      <c r="R584" s="27"/>
      <c r="S584" s="27"/>
      <c r="T584" s="27"/>
      <c r="U584" s="27"/>
      <c r="V584" s="27"/>
      <c r="AE584" s="27"/>
      <c r="AF584" s="27"/>
      <c r="AG584" s="27"/>
      <c r="AH584" s="27"/>
      <c r="AI584" s="28"/>
      <c r="AJ584" s="29"/>
      <c r="AK584" s="29"/>
      <c r="AL584" s="27"/>
      <c r="AM584" s="27"/>
      <c r="AN584" s="27"/>
      <c r="AO584" s="27"/>
      <c r="AP584" s="27"/>
      <c r="AY584" s="27"/>
      <c r="AZ584" s="27"/>
      <c r="BA584" s="27"/>
      <c r="BB584" s="27"/>
      <c r="BC584" s="28"/>
      <c r="BD584" s="29"/>
      <c r="BE584" s="29"/>
      <c r="BF584" s="27"/>
      <c r="BG584" s="27"/>
      <c r="BH584" s="27"/>
      <c r="BI584" s="27"/>
      <c r="BJ584" s="27"/>
      <c r="BK584" s="27"/>
      <c r="BL584" s="27"/>
      <c r="BM584" s="27"/>
    </row>
    <row r="585">
      <c r="I585" s="27"/>
      <c r="J585" s="27"/>
      <c r="K585" s="27"/>
      <c r="L585" s="27"/>
      <c r="M585" s="28"/>
      <c r="N585" s="29"/>
      <c r="O585" s="29"/>
      <c r="P585" s="29"/>
      <c r="Q585" s="27"/>
      <c r="R585" s="27"/>
      <c r="S585" s="27"/>
      <c r="T585" s="27"/>
      <c r="U585" s="27"/>
      <c r="V585" s="27"/>
      <c r="AE585" s="27"/>
      <c r="AF585" s="27"/>
      <c r="AG585" s="27"/>
      <c r="AH585" s="27"/>
      <c r="AI585" s="28"/>
      <c r="AJ585" s="29"/>
      <c r="AK585" s="29"/>
      <c r="AL585" s="27"/>
      <c r="AM585" s="27"/>
      <c r="AN585" s="27"/>
      <c r="AO585" s="27"/>
      <c r="AP585" s="27"/>
      <c r="AY585" s="27"/>
      <c r="AZ585" s="27"/>
      <c r="BA585" s="27"/>
      <c r="BB585" s="27"/>
      <c r="BC585" s="28"/>
      <c r="BD585" s="29"/>
      <c r="BE585" s="29"/>
      <c r="BF585" s="27"/>
      <c r="BG585" s="27"/>
      <c r="BH585" s="27"/>
      <c r="BI585" s="27"/>
      <c r="BJ585" s="27"/>
      <c r="BK585" s="27"/>
      <c r="BL585" s="27"/>
      <c r="BM585" s="27"/>
    </row>
    <row r="586">
      <c r="I586" s="27"/>
      <c r="J586" s="27"/>
      <c r="K586" s="27"/>
      <c r="L586" s="27"/>
      <c r="M586" s="28"/>
      <c r="N586" s="29"/>
      <c r="O586" s="29"/>
      <c r="P586" s="29"/>
      <c r="Q586" s="27"/>
      <c r="R586" s="27"/>
      <c r="S586" s="27"/>
      <c r="T586" s="27"/>
      <c r="U586" s="27"/>
      <c r="V586" s="27"/>
      <c r="AE586" s="27"/>
      <c r="AF586" s="27"/>
      <c r="AG586" s="27"/>
      <c r="AH586" s="27"/>
      <c r="AI586" s="28"/>
      <c r="AJ586" s="29"/>
      <c r="AK586" s="29"/>
      <c r="AL586" s="27"/>
      <c r="AM586" s="27"/>
      <c r="AN586" s="27"/>
      <c r="AO586" s="27"/>
      <c r="AP586" s="27"/>
      <c r="AY586" s="27"/>
      <c r="AZ586" s="27"/>
      <c r="BA586" s="27"/>
      <c r="BB586" s="27"/>
      <c r="BC586" s="28"/>
      <c r="BD586" s="29"/>
      <c r="BE586" s="29"/>
      <c r="BF586" s="27"/>
      <c r="BG586" s="27"/>
      <c r="BH586" s="27"/>
      <c r="BI586" s="27"/>
      <c r="BJ586" s="27"/>
      <c r="BK586" s="27"/>
      <c r="BL586" s="27"/>
      <c r="BM586" s="27"/>
    </row>
    <row r="587">
      <c r="I587" s="27"/>
      <c r="J587" s="27"/>
      <c r="K587" s="27"/>
      <c r="L587" s="27"/>
      <c r="M587" s="28"/>
      <c r="N587" s="29"/>
      <c r="O587" s="29"/>
      <c r="P587" s="29"/>
      <c r="Q587" s="27"/>
      <c r="R587" s="27"/>
      <c r="S587" s="27"/>
      <c r="T587" s="27"/>
      <c r="U587" s="27"/>
      <c r="V587" s="27"/>
      <c r="AE587" s="27"/>
      <c r="AF587" s="27"/>
      <c r="AG587" s="27"/>
      <c r="AH587" s="27"/>
      <c r="AI587" s="28"/>
      <c r="AJ587" s="29"/>
      <c r="AK587" s="29"/>
      <c r="AL587" s="27"/>
      <c r="AM587" s="27"/>
      <c r="AN587" s="27"/>
      <c r="AO587" s="27"/>
      <c r="AP587" s="27"/>
      <c r="AY587" s="27"/>
      <c r="AZ587" s="27"/>
      <c r="BA587" s="27"/>
      <c r="BB587" s="27"/>
      <c r="BC587" s="28"/>
      <c r="BD587" s="29"/>
      <c r="BE587" s="29"/>
      <c r="BF587" s="27"/>
      <c r="BG587" s="27"/>
      <c r="BH587" s="27"/>
      <c r="BI587" s="27"/>
      <c r="BJ587" s="27"/>
      <c r="BK587" s="27"/>
      <c r="BL587" s="27"/>
      <c r="BM587" s="27"/>
    </row>
    <row r="588">
      <c r="I588" s="27"/>
      <c r="J588" s="27"/>
      <c r="K588" s="27"/>
      <c r="L588" s="27"/>
      <c r="M588" s="28"/>
      <c r="N588" s="29"/>
      <c r="O588" s="29"/>
      <c r="P588" s="29"/>
      <c r="Q588" s="27"/>
      <c r="R588" s="27"/>
      <c r="S588" s="27"/>
      <c r="T588" s="27"/>
      <c r="U588" s="27"/>
      <c r="V588" s="27"/>
      <c r="AE588" s="27"/>
      <c r="AF588" s="27"/>
      <c r="AG588" s="27"/>
      <c r="AH588" s="27"/>
      <c r="AI588" s="28"/>
      <c r="AJ588" s="29"/>
      <c r="AK588" s="29"/>
      <c r="AL588" s="27"/>
      <c r="AM588" s="27"/>
      <c r="AN588" s="27"/>
      <c r="AO588" s="27"/>
      <c r="AP588" s="27"/>
      <c r="AY588" s="27"/>
      <c r="AZ588" s="27"/>
      <c r="BA588" s="27"/>
      <c r="BB588" s="27"/>
      <c r="BC588" s="28"/>
      <c r="BD588" s="29"/>
      <c r="BE588" s="29"/>
      <c r="BF588" s="27"/>
      <c r="BG588" s="27"/>
      <c r="BH588" s="27"/>
      <c r="BI588" s="27"/>
      <c r="BJ588" s="27"/>
      <c r="BK588" s="27"/>
      <c r="BL588" s="27"/>
      <c r="BM588" s="27"/>
    </row>
    <row r="589">
      <c r="I589" s="27"/>
      <c r="J589" s="27"/>
      <c r="K589" s="27"/>
      <c r="L589" s="27"/>
      <c r="M589" s="28"/>
      <c r="N589" s="29"/>
      <c r="O589" s="29"/>
      <c r="P589" s="29"/>
      <c r="Q589" s="27"/>
      <c r="R589" s="27"/>
      <c r="S589" s="27"/>
      <c r="T589" s="27"/>
      <c r="U589" s="27"/>
      <c r="V589" s="27"/>
      <c r="AE589" s="27"/>
      <c r="AF589" s="27"/>
      <c r="AG589" s="27"/>
      <c r="AH589" s="27"/>
      <c r="AI589" s="28"/>
      <c r="AJ589" s="29"/>
      <c r="AK589" s="29"/>
      <c r="AL589" s="27"/>
      <c r="AM589" s="27"/>
      <c r="AN589" s="27"/>
      <c r="AO589" s="27"/>
      <c r="AP589" s="27"/>
      <c r="AY589" s="27"/>
      <c r="AZ589" s="27"/>
      <c r="BA589" s="27"/>
      <c r="BB589" s="27"/>
      <c r="BC589" s="28"/>
      <c r="BD589" s="29"/>
      <c r="BE589" s="29"/>
      <c r="BF589" s="27"/>
      <c r="BG589" s="27"/>
      <c r="BH589" s="27"/>
      <c r="BI589" s="27"/>
      <c r="BJ589" s="27"/>
      <c r="BK589" s="27"/>
      <c r="BL589" s="27"/>
      <c r="BM589" s="27"/>
    </row>
    <row r="590">
      <c r="I590" s="27"/>
      <c r="J590" s="27"/>
      <c r="K590" s="27"/>
      <c r="L590" s="27"/>
      <c r="M590" s="28"/>
      <c r="N590" s="29"/>
      <c r="O590" s="29"/>
      <c r="P590" s="29"/>
      <c r="Q590" s="27"/>
      <c r="R590" s="27"/>
      <c r="S590" s="27"/>
      <c r="T590" s="27"/>
      <c r="U590" s="27"/>
      <c r="V590" s="27"/>
      <c r="AE590" s="27"/>
      <c r="AF590" s="27"/>
      <c r="AG590" s="27"/>
      <c r="AH590" s="27"/>
      <c r="AI590" s="28"/>
      <c r="AJ590" s="29"/>
      <c r="AK590" s="29"/>
      <c r="AL590" s="27"/>
      <c r="AM590" s="27"/>
      <c r="AN590" s="27"/>
      <c r="AO590" s="27"/>
      <c r="AP590" s="27"/>
      <c r="AY590" s="27"/>
      <c r="AZ590" s="27"/>
      <c r="BA590" s="27"/>
      <c r="BB590" s="27"/>
      <c r="BC590" s="28"/>
      <c r="BD590" s="29"/>
      <c r="BE590" s="29"/>
      <c r="BF590" s="27"/>
      <c r="BG590" s="27"/>
      <c r="BH590" s="27"/>
      <c r="BI590" s="27"/>
      <c r="BJ590" s="27"/>
      <c r="BK590" s="27"/>
      <c r="BL590" s="27"/>
      <c r="BM590" s="27"/>
    </row>
    <row r="591">
      <c r="I591" s="27"/>
      <c r="J591" s="27"/>
      <c r="K591" s="27"/>
      <c r="L591" s="27"/>
      <c r="M591" s="28"/>
      <c r="N591" s="29"/>
      <c r="O591" s="29"/>
      <c r="P591" s="29"/>
      <c r="Q591" s="27"/>
      <c r="R591" s="27"/>
      <c r="S591" s="27"/>
      <c r="T591" s="27"/>
      <c r="U591" s="27"/>
      <c r="V591" s="27"/>
      <c r="AE591" s="27"/>
      <c r="AF591" s="27"/>
      <c r="AG591" s="27"/>
      <c r="AH591" s="27"/>
      <c r="AI591" s="28"/>
      <c r="AJ591" s="29"/>
      <c r="AK591" s="29"/>
      <c r="AL591" s="27"/>
      <c r="AM591" s="27"/>
      <c r="AN591" s="27"/>
      <c r="AO591" s="27"/>
      <c r="AP591" s="27"/>
      <c r="AY591" s="27"/>
      <c r="AZ591" s="27"/>
      <c r="BA591" s="27"/>
      <c r="BB591" s="27"/>
      <c r="BC591" s="28"/>
      <c r="BD591" s="29"/>
      <c r="BE591" s="29"/>
      <c r="BF591" s="27"/>
      <c r="BG591" s="27"/>
      <c r="BH591" s="27"/>
      <c r="BI591" s="27"/>
      <c r="BJ591" s="27"/>
      <c r="BK591" s="27"/>
      <c r="BL591" s="27"/>
      <c r="BM591" s="27"/>
    </row>
    <row r="592">
      <c r="I592" s="27"/>
      <c r="J592" s="27"/>
      <c r="K592" s="27"/>
      <c r="L592" s="27"/>
      <c r="M592" s="28"/>
      <c r="N592" s="29"/>
      <c r="O592" s="29"/>
      <c r="P592" s="29"/>
      <c r="Q592" s="27"/>
      <c r="R592" s="27"/>
      <c r="S592" s="27"/>
      <c r="T592" s="27"/>
      <c r="U592" s="27"/>
      <c r="V592" s="27"/>
      <c r="AE592" s="27"/>
      <c r="AF592" s="27"/>
      <c r="AG592" s="27"/>
      <c r="AH592" s="27"/>
      <c r="AI592" s="28"/>
      <c r="AJ592" s="29"/>
      <c r="AK592" s="29"/>
      <c r="AL592" s="27"/>
      <c r="AM592" s="27"/>
      <c r="AN592" s="27"/>
      <c r="AO592" s="27"/>
      <c r="AP592" s="27"/>
      <c r="AY592" s="27"/>
      <c r="AZ592" s="27"/>
      <c r="BA592" s="27"/>
      <c r="BB592" s="27"/>
      <c r="BC592" s="28"/>
      <c r="BD592" s="29"/>
      <c r="BE592" s="29"/>
      <c r="BF592" s="27"/>
      <c r="BG592" s="27"/>
      <c r="BH592" s="27"/>
      <c r="BI592" s="27"/>
      <c r="BJ592" s="27"/>
      <c r="BK592" s="27"/>
      <c r="BL592" s="27"/>
      <c r="BM592" s="27"/>
    </row>
    <row r="593">
      <c r="I593" s="27"/>
      <c r="J593" s="27"/>
      <c r="K593" s="27"/>
      <c r="L593" s="27"/>
      <c r="M593" s="28"/>
      <c r="N593" s="29"/>
      <c r="O593" s="29"/>
      <c r="P593" s="29"/>
      <c r="Q593" s="27"/>
      <c r="R593" s="27"/>
      <c r="S593" s="27"/>
      <c r="T593" s="27"/>
      <c r="U593" s="27"/>
      <c r="V593" s="27"/>
      <c r="AE593" s="27"/>
      <c r="AF593" s="27"/>
      <c r="AG593" s="27"/>
      <c r="AH593" s="27"/>
      <c r="AI593" s="28"/>
      <c r="AJ593" s="29"/>
      <c r="AK593" s="29"/>
      <c r="AL593" s="27"/>
      <c r="AM593" s="27"/>
      <c r="AN593" s="27"/>
      <c r="AO593" s="27"/>
      <c r="AP593" s="27"/>
      <c r="AY593" s="27"/>
      <c r="AZ593" s="27"/>
      <c r="BA593" s="27"/>
      <c r="BB593" s="27"/>
      <c r="BC593" s="28"/>
      <c r="BD593" s="29"/>
      <c r="BE593" s="29"/>
      <c r="BF593" s="27"/>
      <c r="BG593" s="27"/>
      <c r="BH593" s="27"/>
      <c r="BI593" s="27"/>
      <c r="BJ593" s="27"/>
      <c r="BK593" s="27"/>
      <c r="BL593" s="27"/>
      <c r="BM593" s="27"/>
    </row>
    <row r="594">
      <c r="I594" s="27"/>
      <c r="J594" s="27"/>
      <c r="K594" s="27"/>
      <c r="L594" s="27"/>
      <c r="M594" s="28"/>
      <c r="N594" s="29"/>
      <c r="O594" s="29"/>
      <c r="P594" s="29"/>
      <c r="Q594" s="27"/>
      <c r="R594" s="27"/>
      <c r="S594" s="27"/>
      <c r="T594" s="27"/>
      <c r="U594" s="27"/>
      <c r="V594" s="27"/>
      <c r="AE594" s="27"/>
      <c r="AF594" s="27"/>
      <c r="AG594" s="27"/>
      <c r="AH594" s="27"/>
      <c r="AI594" s="28"/>
      <c r="AJ594" s="29"/>
      <c r="AK594" s="29"/>
      <c r="AL594" s="27"/>
      <c r="AM594" s="27"/>
      <c r="AN594" s="27"/>
      <c r="AO594" s="27"/>
      <c r="AP594" s="27"/>
      <c r="AY594" s="27"/>
      <c r="AZ594" s="27"/>
      <c r="BA594" s="27"/>
      <c r="BB594" s="27"/>
      <c r="BC594" s="28"/>
      <c r="BD594" s="29"/>
      <c r="BE594" s="29"/>
      <c r="BF594" s="27"/>
      <c r="BG594" s="27"/>
      <c r="BH594" s="27"/>
      <c r="BI594" s="27"/>
      <c r="BJ594" s="27"/>
      <c r="BK594" s="27"/>
      <c r="BL594" s="27"/>
      <c r="BM594" s="27"/>
    </row>
    <row r="595">
      <c r="I595" s="27"/>
      <c r="J595" s="27"/>
      <c r="K595" s="27"/>
      <c r="L595" s="27"/>
      <c r="M595" s="28"/>
      <c r="N595" s="29"/>
      <c r="O595" s="29"/>
      <c r="P595" s="29"/>
      <c r="Q595" s="27"/>
      <c r="R595" s="27"/>
      <c r="S595" s="27"/>
      <c r="T595" s="27"/>
      <c r="U595" s="27"/>
      <c r="V595" s="27"/>
      <c r="AE595" s="27"/>
      <c r="AF595" s="27"/>
      <c r="AG595" s="27"/>
      <c r="AH595" s="27"/>
      <c r="AI595" s="28"/>
      <c r="AJ595" s="29"/>
      <c r="AK595" s="29"/>
      <c r="AL595" s="27"/>
      <c r="AM595" s="27"/>
      <c r="AN595" s="27"/>
      <c r="AO595" s="27"/>
      <c r="AP595" s="27"/>
      <c r="AY595" s="27"/>
      <c r="AZ595" s="27"/>
      <c r="BA595" s="27"/>
      <c r="BB595" s="27"/>
      <c r="BC595" s="28"/>
      <c r="BD595" s="29"/>
      <c r="BE595" s="29"/>
      <c r="BF595" s="27"/>
      <c r="BG595" s="27"/>
      <c r="BH595" s="27"/>
      <c r="BI595" s="27"/>
      <c r="BJ595" s="27"/>
      <c r="BK595" s="27"/>
      <c r="BL595" s="27"/>
      <c r="BM595" s="27"/>
    </row>
    <row r="596">
      <c r="I596" s="27"/>
      <c r="J596" s="27"/>
      <c r="K596" s="27"/>
      <c r="L596" s="27"/>
      <c r="M596" s="28"/>
      <c r="N596" s="29"/>
      <c r="O596" s="29"/>
      <c r="P596" s="29"/>
      <c r="Q596" s="27"/>
      <c r="R596" s="27"/>
      <c r="S596" s="27"/>
      <c r="T596" s="27"/>
      <c r="U596" s="27"/>
      <c r="V596" s="27"/>
      <c r="AE596" s="27"/>
      <c r="AF596" s="27"/>
      <c r="AG596" s="27"/>
      <c r="AH596" s="27"/>
      <c r="AI596" s="28"/>
      <c r="AJ596" s="29"/>
      <c r="AK596" s="29"/>
      <c r="AL596" s="27"/>
      <c r="AM596" s="27"/>
      <c r="AN596" s="27"/>
      <c r="AO596" s="27"/>
      <c r="AP596" s="27"/>
      <c r="AY596" s="27"/>
      <c r="AZ596" s="27"/>
      <c r="BA596" s="27"/>
      <c r="BB596" s="27"/>
      <c r="BC596" s="28"/>
      <c r="BD596" s="29"/>
      <c r="BE596" s="29"/>
      <c r="BF596" s="27"/>
      <c r="BG596" s="27"/>
      <c r="BH596" s="27"/>
      <c r="BI596" s="27"/>
      <c r="BJ596" s="27"/>
      <c r="BK596" s="27"/>
      <c r="BL596" s="27"/>
      <c r="BM596" s="27"/>
    </row>
    <row r="597">
      <c r="I597" s="27"/>
      <c r="J597" s="27"/>
      <c r="K597" s="27"/>
      <c r="L597" s="27"/>
      <c r="M597" s="28"/>
      <c r="N597" s="29"/>
      <c r="O597" s="29"/>
      <c r="P597" s="29"/>
      <c r="Q597" s="27"/>
      <c r="R597" s="27"/>
      <c r="S597" s="27"/>
      <c r="T597" s="27"/>
      <c r="U597" s="27"/>
      <c r="V597" s="27"/>
      <c r="AE597" s="27"/>
      <c r="AF597" s="27"/>
      <c r="AG597" s="27"/>
      <c r="AH597" s="27"/>
      <c r="AI597" s="28"/>
      <c r="AJ597" s="29"/>
      <c r="AK597" s="29"/>
      <c r="AL597" s="27"/>
      <c r="AM597" s="27"/>
      <c r="AN597" s="27"/>
      <c r="AO597" s="27"/>
      <c r="AP597" s="27"/>
      <c r="AY597" s="27"/>
      <c r="AZ597" s="27"/>
      <c r="BA597" s="27"/>
      <c r="BB597" s="27"/>
      <c r="BC597" s="28"/>
      <c r="BD597" s="29"/>
      <c r="BE597" s="29"/>
      <c r="BF597" s="27"/>
      <c r="BG597" s="27"/>
      <c r="BH597" s="27"/>
      <c r="BI597" s="27"/>
      <c r="BJ597" s="27"/>
      <c r="BK597" s="27"/>
      <c r="BL597" s="27"/>
      <c r="BM597" s="27"/>
    </row>
    <row r="598">
      <c r="I598" s="27"/>
      <c r="J598" s="27"/>
      <c r="K598" s="27"/>
      <c r="L598" s="27"/>
      <c r="M598" s="28"/>
      <c r="N598" s="29"/>
      <c r="O598" s="29"/>
      <c r="P598" s="29"/>
      <c r="Q598" s="27"/>
      <c r="R598" s="27"/>
      <c r="S598" s="27"/>
      <c r="T598" s="27"/>
      <c r="U598" s="27"/>
      <c r="V598" s="27"/>
      <c r="AE598" s="27"/>
      <c r="AF598" s="27"/>
      <c r="AG598" s="27"/>
      <c r="AH598" s="27"/>
      <c r="AI598" s="28"/>
      <c r="AJ598" s="29"/>
      <c r="AK598" s="29"/>
      <c r="AL598" s="27"/>
      <c r="AM598" s="27"/>
      <c r="AN598" s="27"/>
      <c r="AO598" s="27"/>
      <c r="AP598" s="27"/>
      <c r="AY598" s="27"/>
      <c r="AZ598" s="27"/>
      <c r="BA598" s="27"/>
      <c r="BB598" s="27"/>
      <c r="BC598" s="28"/>
      <c r="BD598" s="29"/>
      <c r="BE598" s="29"/>
      <c r="BF598" s="27"/>
      <c r="BG598" s="27"/>
      <c r="BH598" s="27"/>
      <c r="BI598" s="27"/>
      <c r="BJ598" s="27"/>
      <c r="BK598" s="27"/>
      <c r="BL598" s="27"/>
      <c r="BM598" s="27"/>
    </row>
    <row r="599">
      <c r="I599" s="27"/>
      <c r="J599" s="27"/>
      <c r="K599" s="27"/>
      <c r="L599" s="27"/>
      <c r="M599" s="28"/>
      <c r="N599" s="29"/>
      <c r="O599" s="29"/>
      <c r="P599" s="29"/>
      <c r="Q599" s="27"/>
      <c r="R599" s="27"/>
      <c r="S599" s="27"/>
      <c r="T599" s="27"/>
      <c r="U599" s="27"/>
      <c r="V599" s="27"/>
      <c r="AE599" s="27"/>
      <c r="AF599" s="27"/>
      <c r="AG599" s="27"/>
      <c r="AH599" s="27"/>
      <c r="AI599" s="28"/>
      <c r="AJ599" s="29"/>
      <c r="AK599" s="29"/>
      <c r="AL599" s="27"/>
      <c r="AM599" s="27"/>
      <c r="AN599" s="27"/>
      <c r="AO599" s="27"/>
      <c r="AP599" s="27"/>
      <c r="AY599" s="27"/>
      <c r="AZ599" s="27"/>
      <c r="BA599" s="27"/>
      <c r="BB599" s="27"/>
      <c r="BC599" s="28"/>
      <c r="BD599" s="29"/>
      <c r="BE599" s="29"/>
      <c r="BF599" s="27"/>
      <c r="BG599" s="27"/>
      <c r="BH599" s="27"/>
      <c r="BI599" s="27"/>
      <c r="BJ599" s="27"/>
      <c r="BK599" s="27"/>
      <c r="BL599" s="27"/>
      <c r="BM599" s="27"/>
    </row>
    <row r="600">
      <c r="I600" s="27"/>
      <c r="J600" s="27"/>
      <c r="K600" s="27"/>
      <c r="L600" s="27"/>
      <c r="M600" s="28"/>
      <c r="N600" s="29"/>
      <c r="O600" s="29"/>
      <c r="P600" s="29"/>
      <c r="Q600" s="27"/>
      <c r="R600" s="27"/>
      <c r="S600" s="27"/>
      <c r="T600" s="27"/>
      <c r="U600" s="27"/>
      <c r="V600" s="27"/>
      <c r="AE600" s="27"/>
      <c r="AF600" s="27"/>
      <c r="AG600" s="27"/>
      <c r="AH600" s="27"/>
      <c r="AI600" s="28"/>
      <c r="AJ600" s="29"/>
      <c r="AK600" s="29"/>
      <c r="AL600" s="27"/>
      <c r="AM600" s="27"/>
      <c r="AN600" s="27"/>
      <c r="AO600" s="27"/>
      <c r="AP600" s="27"/>
      <c r="AY600" s="27"/>
      <c r="AZ600" s="27"/>
      <c r="BA600" s="27"/>
      <c r="BB600" s="27"/>
      <c r="BC600" s="28"/>
      <c r="BD600" s="29"/>
      <c r="BE600" s="29"/>
      <c r="BF600" s="27"/>
      <c r="BG600" s="27"/>
      <c r="BH600" s="27"/>
      <c r="BI600" s="27"/>
      <c r="BJ600" s="27"/>
      <c r="BK600" s="27"/>
      <c r="BL600" s="27"/>
      <c r="BM600" s="27"/>
    </row>
    <row r="601">
      <c r="I601" s="27"/>
      <c r="J601" s="27"/>
      <c r="K601" s="27"/>
      <c r="L601" s="27"/>
      <c r="M601" s="28"/>
      <c r="N601" s="29"/>
      <c r="O601" s="29"/>
      <c r="P601" s="29"/>
      <c r="Q601" s="27"/>
      <c r="R601" s="27"/>
      <c r="S601" s="27"/>
      <c r="T601" s="27"/>
      <c r="U601" s="27"/>
      <c r="V601" s="27"/>
      <c r="AE601" s="27"/>
      <c r="AF601" s="27"/>
      <c r="AG601" s="27"/>
      <c r="AH601" s="27"/>
      <c r="AI601" s="28"/>
      <c r="AJ601" s="29"/>
      <c r="AK601" s="29"/>
      <c r="AL601" s="27"/>
      <c r="AM601" s="27"/>
      <c r="AN601" s="27"/>
      <c r="AO601" s="27"/>
      <c r="AP601" s="27"/>
      <c r="AY601" s="27"/>
      <c r="AZ601" s="27"/>
      <c r="BA601" s="27"/>
      <c r="BB601" s="27"/>
      <c r="BC601" s="28"/>
      <c r="BD601" s="29"/>
      <c r="BE601" s="29"/>
      <c r="BF601" s="27"/>
      <c r="BG601" s="27"/>
      <c r="BH601" s="27"/>
      <c r="BI601" s="27"/>
      <c r="BJ601" s="27"/>
      <c r="BK601" s="27"/>
      <c r="BL601" s="27"/>
      <c r="BM601" s="27"/>
    </row>
    <row r="602">
      <c r="I602" s="27"/>
      <c r="J602" s="27"/>
      <c r="K602" s="27"/>
      <c r="L602" s="27"/>
      <c r="M602" s="28"/>
      <c r="N602" s="29"/>
      <c r="O602" s="29"/>
      <c r="P602" s="29"/>
      <c r="Q602" s="27"/>
      <c r="R602" s="27"/>
      <c r="S602" s="27"/>
      <c r="T602" s="27"/>
      <c r="U602" s="27"/>
      <c r="V602" s="27"/>
      <c r="AE602" s="27"/>
      <c r="AF602" s="27"/>
      <c r="AG602" s="27"/>
      <c r="AH602" s="27"/>
      <c r="AI602" s="28"/>
      <c r="AJ602" s="29"/>
      <c r="AK602" s="29"/>
      <c r="AL602" s="27"/>
      <c r="AM602" s="27"/>
      <c r="AN602" s="27"/>
      <c r="AO602" s="27"/>
      <c r="AP602" s="27"/>
      <c r="AY602" s="27"/>
      <c r="AZ602" s="27"/>
      <c r="BA602" s="27"/>
      <c r="BB602" s="27"/>
      <c r="BC602" s="28"/>
      <c r="BD602" s="29"/>
      <c r="BE602" s="29"/>
      <c r="BF602" s="27"/>
      <c r="BG602" s="27"/>
      <c r="BH602" s="27"/>
      <c r="BI602" s="27"/>
      <c r="BJ602" s="27"/>
      <c r="BK602" s="27"/>
      <c r="BL602" s="27"/>
      <c r="BM602" s="27"/>
    </row>
    <row r="603">
      <c r="I603" s="27"/>
      <c r="J603" s="27"/>
      <c r="K603" s="27"/>
      <c r="L603" s="27"/>
      <c r="M603" s="28"/>
      <c r="N603" s="29"/>
      <c r="O603" s="29"/>
      <c r="P603" s="29"/>
      <c r="Q603" s="27"/>
      <c r="R603" s="27"/>
      <c r="S603" s="27"/>
      <c r="T603" s="27"/>
      <c r="U603" s="27"/>
      <c r="V603" s="27"/>
      <c r="AE603" s="27"/>
      <c r="AF603" s="27"/>
      <c r="AG603" s="27"/>
      <c r="AH603" s="27"/>
      <c r="AI603" s="28"/>
      <c r="AJ603" s="29"/>
      <c r="AK603" s="29"/>
      <c r="AL603" s="27"/>
      <c r="AM603" s="27"/>
      <c r="AN603" s="27"/>
      <c r="AO603" s="27"/>
      <c r="AP603" s="27"/>
      <c r="AY603" s="27"/>
      <c r="AZ603" s="27"/>
      <c r="BA603" s="27"/>
      <c r="BB603" s="27"/>
      <c r="BC603" s="28"/>
      <c r="BD603" s="29"/>
      <c r="BE603" s="29"/>
      <c r="BF603" s="27"/>
      <c r="BG603" s="27"/>
      <c r="BH603" s="27"/>
      <c r="BI603" s="27"/>
      <c r="BJ603" s="27"/>
      <c r="BK603" s="27"/>
      <c r="BL603" s="27"/>
      <c r="BM603" s="27"/>
    </row>
    <row r="604">
      <c r="I604" s="27"/>
      <c r="J604" s="27"/>
      <c r="K604" s="27"/>
      <c r="L604" s="27"/>
      <c r="M604" s="28"/>
      <c r="N604" s="29"/>
      <c r="O604" s="29"/>
      <c r="P604" s="29"/>
      <c r="Q604" s="27"/>
      <c r="R604" s="27"/>
      <c r="S604" s="27"/>
      <c r="T604" s="27"/>
      <c r="U604" s="27"/>
      <c r="V604" s="27"/>
      <c r="AE604" s="27"/>
      <c r="AF604" s="27"/>
      <c r="AG604" s="27"/>
      <c r="AH604" s="27"/>
      <c r="AI604" s="28"/>
      <c r="AJ604" s="29"/>
      <c r="AK604" s="29"/>
      <c r="AL604" s="27"/>
      <c r="AM604" s="27"/>
      <c r="AN604" s="27"/>
      <c r="AO604" s="27"/>
      <c r="AP604" s="27"/>
      <c r="AY604" s="27"/>
      <c r="AZ604" s="27"/>
      <c r="BA604" s="27"/>
      <c r="BB604" s="27"/>
      <c r="BC604" s="28"/>
      <c r="BD604" s="29"/>
      <c r="BE604" s="29"/>
      <c r="BF604" s="27"/>
      <c r="BG604" s="27"/>
      <c r="BH604" s="27"/>
      <c r="BI604" s="27"/>
      <c r="BJ604" s="27"/>
      <c r="BK604" s="27"/>
      <c r="BL604" s="27"/>
      <c r="BM604" s="27"/>
    </row>
    <row r="605">
      <c r="I605" s="27"/>
      <c r="J605" s="27"/>
      <c r="K605" s="27"/>
      <c r="L605" s="27"/>
      <c r="M605" s="28"/>
      <c r="N605" s="29"/>
      <c r="O605" s="29"/>
      <c r="P605" s="29"/>
      <c r="Q605" s="27"/>
      <c r="R605" s="27"/>
      <c r="S605" s="27"/>
      <c r="T605" s="27"/>
      <c r="U605" s="27"/>
      <c r="V605" s="27"/>
      <c r="AE605" s="27"/>
      <c r="AF605" s="27"/>
      <c r="AG605" s="27"/>
      <c r="AH605" s="27"/>
      <c r="AI605" s="28"/>
      <c r="AJ605" s="29"/>
      <c r="AK605" s="29"/>
      <c r="AL605" s="27"/>
      <c r="AM605" s="27"/>
      <c r="AN605" s="27"/>
      <c r="AO605" s="27"/>
      <c r="AP605" s="27"/>
      <c r="AY605" s="27"/>
      <c r="AZ605" s="27"/>
      <c r="BA605" s="27"/>
      <c r="BB605" s="27"/>
      <c r="BC605" s="28"/>
      <c r="BD605" s="29"/>
      <c r="BE605" s="29"/>
      <c r="BF605" s="27"/>
      <c r="BG605" s="27"/>
      <c r="BH605" s="27"/>
      <c r="BI605" s="27"/>
      <c r="BJ605" s="27"/>
      <c r="BK605" s="27"/>
      <c r="BL605" s="27"/>
      <c r="BM605" s="27"/>
    </row>
    <row r="606">
      <c r="I606" s="27"/>
      <c r="J606" s="27"/>
      <c r="K606" s="27"/>
      <c r="L606" s="27"/>
      <c r="M606" s="28"/>
      <c r="N606" s="29"/>
      <c r="O606" s="29"/>
      <c r="P606" s="29"/>
      <c r="Q606" s="27"/>
      <c r="R606" s="27"/>
      <c r="S606" s="27"/>
      <c r="T606" s="27"/>
      <c r="U606" s="27"/>
      <c r="V606" s="27"/>
      <c r="AE606" s="27"/>
      <c r="AF606" s="27"/>
      <c r="AG606" s="27"/>
      <c r="AH606" s="27"/>
      <c r="AI606" s="28"/>
      <c r="AJ606" s="29"/>
      <c r="AK606" s="29"/>
      <c r="AL606" s="27"/>
      <c r="AM606" s="27"/>
      <c r="AN606" s="27"/>
      <c r="AO606" s="27"/>
      <c r="AP606" s="27"/>
      <c r="AY606" s="27"/>
      <c r="AZ606" s="27"/>
      <c r="BA606" s="27"/>
      <c r="BB606" s="27"/>
      <c r="BC606" s="28"/>
      <c r="BD606" s="29"/>
      <c r="BE606" s="29"/>
      <c r="BF606" s="27"/>
      <c r="BG606" s="27"/>
      <c r="BH606" s="27"/>
      <c r="BI606" s="27"/>
      <c r="BJ606" s="27"/>
      <c r="BK606" s="27"/>
      <c r="BL606" s="27"/>
      <c r="BM606" s="27"/>
    </row>
    <row r="607">
      <c r="I607" s="27"/>
      <c r="J607" s="27"/>
      <c r="K607" s="27"/>
      <c r="L607" s="27"/>
      <c r="M607" s="28"/>
      <c r="N607" s="29"/>
      <c r="O607" s="29"/>
      <c r="P607" s="29"/>
      <c r="Q607" s="27"/>
      <c r="R607" s="27"/>
      <c r="S607" s="27"/>
      <c r="T607" s="27"/>
      <c r="U607" s="27"/>
      <c r="V607" s="27"/>
      <c r="AE607" s="27"/>
      <c r="AF607" s="27"/>
      <c r="AG607" s="27"/>
      <c r="AH607" s="27"/>
      <c r="AI607" s="28"/>
      <c r="AJ607" s="29"/>
      <c r="AK607" s="29"/>
      <c r="AL607" s="27"/>
      <c r="AM607" s="27"/>
      <c r="AN607" s="27"/>
      <c r="AO607" s="27"/>
      <c r="AP607" s="27"/>
      <c r="AY607" s="27"/>
      <c r="AZ607" s="27"/>
      <c r="BA607" s="27"/>
      <c r="BB607" s="27"/>
      <c r="BC607" s="28"/>
      <c r="BD607" s="29"/>
      <c r="BE607" s="29"/>
      <c r="BF607" s="27"/>
      <c r="BG607" s="27"/>
      <c r="BH607" s="27"/>
      <c r="BI607" s="27"/>
      <c r="BJ607" s="27"/>
      <c r="BK607" s="27"/>
      <c r="BL607" s="27"/>
      <c r="BM607" s="27"/>
    </row>
    <row r="608">
      <c r="I608" s="27"/>
      <c r="J608" s="27"/>
      <c r="K608" s="27"/>
      <c r="L608" s="27"/>
      <c r="M608" s="28"/>
      <c r="N608" s="29"/>
      <c r="O608" s="29"/>
      <c r="P608" s="29"/>
      <c r="Q608" s="27"/>
      <c r="R608" s="27"/>
      <c r="S608" s="27"/>
      <c r="T608" s="27"/>
      <c r="U608" s="27"/>
      <c r="V608" s="27"/>
      <c r="AE608" s="27"/>
      <c r="AF608" s="27"/>
      <c r="AG608" s="27"/>
      <c r="AH608" s="27"/>
      <c r="AI608" s="28"/>
      <c r="AJ608" s="29"/>
      <c r="AK608" s="29"/>
      <c r="AL608" s="27"/>
      <c r="AM608" s="27"/>
      <c r="AN608" s="27"/>
      <c r="AO608" s="27"/>
      <c r="AP608" s="27"/>
      <c r="AY608" s="27"/>
      <c r="AZ608" s="27"/>
      <c r="BA608" s="27"/>
      <c r="BB608" s="27"/>
      <c r="BC608" s="28"/>
      <c r="BD608" s="29"/>
      <c r="BE608" s="29"/>
      <c r="BF608" s="27"/>
      <c r="BG608" s="27"/>
      <c r="BH608" s="27"/>
      <c r="BI608" s="27"/>
      <c r="BJ608" s="27"/>
      <c r="BK608" s="27"/>
      <c r="BL608" s="27"/>
      <c r="BM608" s="27"/>
    </row>
    <row r="609">
      <c r="I609" s="27"/>
      <c r="J609" s="27"/>
      <c r="K609" s="27"/>
      <c r="L609" s="27"/>
      <c r="M609" s="28"/>
      <c r="N609" s="29"/>
      <c r="O609" s="29"/>
      <c r="P609" s="29"/>
      <c r="Q609" s="27"/>
      <c r="R609" s="27"/>
      <c r="S609" s="27"/>
      <c r="T609" s="27"/>
      <c r="U609" s="27"/>
      <c r="V609" s="27"/>
      <c r="AE609" s="27"/>
      <c r="AF609" s="27"/>
      <c r="AG609" s="27"/>
      <c r="AH609" s="27"/>
      <c r="AI609" s="28"/>
      <c r="AJ609" s="29"/>
      <c r="AK609" s="29"/>
      <c r="AL609" s="27"/>
      <c r="AM609" s="27"/>
      <c r="AN609" s="27"/>
      <c r="AO609" s="27"/>
      <c r="AP609" s="27"/>
      <c r="AY609" s="27"/>
      <c r="AZ609" s="27"/>
      <c r="BA609" s="27"/>
      <c r="BB609" s="27"/>
      <c r="BC609" s="28"/>
      <c r="BD609" s="29"/>
      <c r="BE609" s="29"/>
      <c r="BF609" s="27"/>
      <c r="BG609" s="27"/>
      <c r="BH609" s="27"/>
      <c r="BI609" s="27"/>
      <c r="BJ609" s="27"/>
      <c r="BK609" s="27"/>
      <c r="BL609" s="27"/>
      <c r="BM609" s="27"/>
    </row>
    <row r="610">
      <c r="I610" s="27"/>
      <c r="J610" s="27"/>
      <c r="K610" s="27"/>
      <c r="L610" s="27"/>
      <c r="M610" s="28"/>
      <c r="N610" s="29"/>
      <c r="O610" s="29"/>
      <c r="P610" s="29"/>
      <c r="Q610" s="27"/>
      <c r="R610" s="27"/>
      <c r="S610" s="27"/>
      <c r="T610" s="27"/>
      <c r="U610" s="27"/>
      <c r="V610" s="27"/>
      <c r="AE610" s="27"/>
      <c r="AF610" s="27"/>
      <c r="AG610" s="27"/>
      <c r="AH610" s="27"/>
      <c r="AI610" s="28"/>
      <c r="AJ610" s="29"/>
      <c r="AK610" s="29"/>
      <c r="AL610" s="27"/>
      <c r="AM610" s="27"/>
      <c r="AN610" s="27"/>
      <c r="AO610" s="27"/>
      <c r="AP610" s="27"/>
      <c r="AY610" s="27"/>
      <c r="AZ610" s="27"/>
      <c r="BA610" s="27"/>
      <c r="BB610" s="27"/>
      <c r="BC610" s="28"/>
      <c r="BD610" s="29"/>
      <c r="BE610" s="29"/>
      <c r="BF610" s="27"/>
      <c r="BG610" s="27"/>
      <c r="BH610" s="27"/>
      <c r="BI610" s="27"/>
      <c r="BJ610" s="27"/>
      <c r="BK610" s="27"/>
      <c r="BL610" s="27"/>
      <c r="BM610" s="27"/>
    </row>
    <row r="611">
      <c r="I611" s="27"/>
      <c r="J611" s="27"/>
      <c r="K611" s="27"/>
      <c r="L611" s="27"/>
      <c r="M611" s="28"/>
      <c r="N611" s="29"/>
      <c r="O611" s="29"/>
      <c r="P611" s="29"/>
      <c r="Q611" s="27"/>
      <c r="R611" s="27"/>
      <c r="S611" s="27"/>
      <c r="T611" s="27"/>
      <c r="U611" s="27"/>
      <c r="V611" s="27"/>
      <c r="AE611" s="27"/>
      <c r="AF611" s="27"/>
      <c r="AG611" s="27"/>
      <c r="AH611" s="27"/>
      <c r="AI611" s="28"/>
      <c r="AJ611" s="29"/>
      <c r="AK611" s="29"/>
      <c r="AL611" s="27"/>
      <c r="AM611" s="27"/>
      <c r="AN611" s="27"/>
      <c r="AO611" s="27"/>
      <c r="AP611" s="27"/>
      <c r="AY611" s="27"/>
      <c r="AZ611" s="27"/>
      <c r="BA611" s="27"/>
      <c r="BB611" s="27"/>
      <c r="BC611" s="28"/>
      <c r="BD611" s="29"/>
      <c r="BE611" s="29"/>
      <c r="BF611" s="27"/>
      <c r="BG611" s="27"/>
      <c r="BH611" s="27"/>
      <c r="BI611" s="27"/>
      <c r="BJ611" s="27"/>
      <c r="BK611" s="27"/>
      <c r="BL611" s="27"/>
      <c r="BM611" s="27"/>
    </row>
    <row r="612">
      <c r="I612" s="27"/>
      <c r="J612" s="27"/>
      <c r="K612" s="27"/>
      <c r="L612" s="27"/>
      <c r="M612" s="28"/>
      <c r="N612" s="29"/>
      <c r="O612" s="29"/>
      <c r="P612" s="29"/>
      <c r="Q612" s="27"/>
      <c r="R612" s="27"/>
      <c r="S612" s="27"/>
      <c r="T612" s="27"/>
      <c r="U612" s="27"/>
      <c r="V612" s="27"/>
      <c r="AE612" s="27"/>
      <c r="AF612" s="27"/>
      <c r="AG612" s="27"/>
      <c r="AH612" s="27"/>
      <c r="AI612" s="28"/>
      <c r="AJ612" s="29"/>
      <c r="AK612" s="29"/>
      <c r="AL612" s="27"/>
      <c r="AM612" s="27"/>
      <c r="AN612" s="27"/>
      <c r="AO612" s="27"/>
      <c r="AP612" s="27"/>
      <c r="AY612" s="27"/>
      <c r="AZ612" s="27"/>
      <c r="BA612" s="27"/>
      <c r="BB612" s="27"/>
      <c r="BC612" s="28"/>
      <c r="BD612" s="29"/>
      <c r="BE612" s="29"/>
      <c r="BF612" s="27"/>
      <c r="BG612" s="27"/>
      <c r="BH612" s="27"/>
      <c r="BI612" s="27"/>
      <c r="BJ612" s="27"/>
      <c r="BK612" s="27"/>
      <c r="BL612" s="27"/>
      <c r="BM612" s="27"/>
    </row>
    <row r="613">
      <c r="I613" s="27"/>
      <c r="J613" s="27"/>
      <c r="K613" s="27"/>
      <c r="L613" s="27"/>
      <c r="M613" s="28"/>
      <c r="N613" s="29"/>
      <c r="O613" s="29"/>
      <c r="P613" s="29"/>
      <c r="Q613" s="27"/>
      <c r="R613" s="27"/>
      <c r="S613" s="27"/>
      <c r="T613" s="27"/>
      <c r="U613" s="27"/>
      <c r="V613" s="27"/>
      <c r="AE613" s="27"/>
      <c r="AF613" s="27"/>
      <c r="AG613" s="27"/>
      <c r="AH613" s="27"/>
      <c r="AI613" s="28"/>
      <c r="AJ613" s="29"/>
      <c r="AK613" s="29"/>
      <c r="AL613" s="27"/>
      <c r="AM613" s="27"/>
      <c r="AN613" s="27"/>
      <c r="AO613" s="27"/>
      <c r="AP613" s="27"/>
      <c r="AY613" s="27"/>
      <c r="AZ613" s="27"/>
      <c r="BA613" s="27"/>
      <c r="BB613" s="27"/>
      <c r="BC613" s="28"/>
      <c r="BD613" s="29"/>
      <c r="BE613" s="29"/>
      <c r="BF613" s="27"/>
      <c r="BG613" s="27"/>
      <c r="BH613" s="27"/>
      <c r="BI613" s="27"/>
      <c r="BJ613" s="27"/>
      <c r="BK613" s="27"/>
      <c r="BL613" s="27"/>
      <c r="BM613" s="27"/>
    </row>
    <row r="614">
      <c r="I614" s="27"/>
      <c r="J614" s="27"/>
      <c r="K614" s="27"/>
      <c r="L614" s="27"/>
      <c r="M614" s="28"/>
      <c r="N614" s="29"/>
      <c r="O614" s="29"/>
      <c r="P614" s="29"/>
      <c r="Q614" s="27"/>
      <c r="R614" s="27"/>
      <c r="S614" s="27"/>
      <c r="T614" s="27"/>
      <c r="U614" s="27"/>
      <c r="V614" s="27"/>
      <c r="AE614" s="27"/>
      <c r="AF614" s="27"/>
      <c r="AG614" s="27"/>
      <c r="AH614" s="27"/>
      <c r="AI614" s="28"/>
      <c r="AJ614" s="29"/>
      <c r="AK614" s="29"/>
      <c r="AL614" s="27"/>
      <c r="AM614" s="27"/>
      <c r="AN614" s="27"/>
      <c r="AO614" s="27"/>
      <c r="AP614" s="27"/>
      <c r="AY614" s="27"/>
      <c r="AZ614" s="27"/>
      <c r="BA614" s="27"/>
      <c r="BB614" s="27"/>
      <c r="BC614" s="28"/>
      <c r="BD614" s="29"/>
      <c r="BE614" s="29"/>
      <c r="BF614" s="27"/>
      <c r="BG614" s="27"/>
      <c r="BH614" s="27"/>
      <c r="BI614" s="27"/>
      <c r="BJ614" s="27"/>
      <c r="BK614" s="27"/>
      <c r="BL614" s="27"/>
      <c r="BM614" s="27"/>
    </row>
    <row r="615">
      <c r="I615" s="27"/>
      <c r="J615" s="27"/>
      <c r="K615" s="27"/>
      <c r="L615" s="27"/>
      <c r="M615" s="28"/>
      <c r="N615" s="29"/>
      <c r="O615" s="29"/>
      <c r="P615" s="29"/>
      <c r="Q615" s="27"/>
      <c r="R615" s="27"/>
      <c r="S615" s="27"/>
      <c r="T615" s="27"/>
      <c r="U615" s="27"/>
      <c r="V615" s="27"/>
      <c r="AE615" s="27"/>
      <c r="AF615" s="27"/>
      <c r="AG615" s="27"/>
      <c r="AH615" s="27"/>
      <c r="AI615" s="28"/>
      <c r="AJ615" s="29"/>
      <c r="AK615" s="29"/>
      <c r="AL615" s="27"/>
      <c r="AM615" s="27"/>
      <c r="AN615" s="27"/>
      <c r="AO615" s="27"/>
      <c r="AP615" s="27"/>
      <c r="AY615" s="27"/>
      <c r="AZ615" s="27"/>
      <c r="BA615" s="27"/>
      <c r="BB615" s="27"/>
      <c r="BC615" s="28"/>
      <c r="BD615" s="29"/>
      <c r="BE615" s="29"/>
      <c r="BF615" s="27"/>
      <c r="BG615" s="27"/>
      <c r="BH615" s="27"/>
      <c r="BI615" s="27"/>
      <c r="BJ615" s="27"/>
      <c r="BK615" s="27"/>
      <c r="BL615" s="27"/>
      <c r="BM615" s="27"/>
    </row>
    <row r="616">
      <c r="I616" s="27"/>
      <c r="J616" s="27"/>
      <c r="K616" s="27"/>
      <c r="L616" s="27"/>
      <c r="M616" s="28"/>
      <c r="N616" s="29"/>
      <c r="O616" s="29"/>
      <c r="P616" s="29"/>
      <c r="Q616" s="27"/>
      <c r="R616" s="27"/>
      <c r="S616" s="27"/>
      <c r="T616" s="27"/>
      <c r="U616" s="27"/>
      <c r="V616" s="27"/>
      <c r="AE616" s="27"/>
      <c r="AF616" s="27"/>
      <c r="AG616" s="27"/>
      <c r="AH616" s="27"/>
      <c r="AI616" s="28"/>
      <c r="AJ616" s="29"/>
      <c r="AK616" s="29"/>
      <c r="AL616" s="27"/>
      <c r="AM616" s="27"/>
      <c r="AN616" s="27"/>
      <c r="AO616" s="27"/>
      <c r="AP616" s="27"/>
      <c r="AY616" s="27"/>
      <c r="AZ616" s="27"/>
      <c r="BA616" s="27"/>
      <c r="BB616" s="27"/>
      <c r="BC616" s="28"/>
      <c r="BD616" s="29"/>
      <c r="BE616" s="29"/>
      <c r="BF616" s="27"/>
      <c r="BG616" s="27"/>
      <c r="BH616" s="27"/>
      <c r="BI616" s="27"/>
      <c r="BJ616" s="27"/>
      <c r="BK616" s="27"/>
      <c r="BL616" s="27"/>
      <c r="BM616" s="27"/>
    </row>
    <row r="617">
      <c r="I617" s="27"/>
      <c r="J617" s="27"/>
      <c r="K617" s="27"/>
      <c r="L617" s="27"/>
      <c r="M617" s="28"/>
      <c r="N617" s="29"/>
      <c r="O617" s="29"/>
      <c r="P617" s="29"/>
      <c r="Q617" s="27"/>
      <c r="R617" s="27"/>
      <c r="S617" s="27"/>
      <c r="T617" s="27"/>
      <c r="U617" s="27"/>
      <c r="V617" s="27"/>
      <c r="AE617" s="27"/>
      <c r="AF617" s="27"/>
      <c r="AG617" s="27"/>
      <c r="AH617" s="27"/>
      <c r="AI617" s="28"/>
      <c r="AJ617" s="29"/>
      <c r="AK617" s="29"/>
      <c r="AL617" s="27"/>
      <c r="AM617" s="27"/>
      <c r="AN617" s="27"/>
      <c r="AO617" s="27"/>
      <c r="AP617" s="27"/>
      <c r="AY617" s="27"/>
      <c r="AZ617" s="27"/>
      <c r="BA617" s="27"/>
      <c r="BB617" s="27"/>
      <c r="BC617" s="28"/>
      <c r="BD617" s="29"/>
      <c r="BE617" s="29"/>
      <c r="BF617" s="27"/>
      <c r="BG617" s="27"/>
      <c r="BH617" s="27"/>
      <c r="BI617" s="27"/>
      <c r="BJ617" s="27"/>
      <c r="BK617" s="27"/>
      <c r="BL617" s="27"/>
      <c r="BM617" s="27"/>
    </row>
    <row r="618">
      <c r="I618" s="27"/>
      <c r="J618" s="27"/>
      <c r="K618" s="27"/>
      <c r="L618" s="27"/>
      <c r="M618" s="28"/>
      <c r="N618" s="29"/>
      <c r="O618" s="29"/>
      <c r="P618" s="29"/>
      <c r="Q618" s="27"/>
      <c r="R618" s="27"/>
      <c r="S618" s="27"/>
      <c r="T618" s="27"/>
      <c r="U618" s="27"/>
      <c r="V618" s="27"/>
      <c r="AE618" s="27"/>
      <c r="AF618" s="27"/>
      <c r="AG618" s="27"/>
      <c r="AH618" s="27"/>
      <c r="AI618" s="28"/>
      <c r="AJ618" s="29"/>
      <c r="AK618" s="29"/>
      <c r="AL618" s="27"/>
      <c r="AM618" s="27"/>
      <c r="AN618" s="27"/>
      <c r="AO618" s="27"/>
      <c r="AP618" s="27"/>
      <c r="AY618" s="27"/>
      <c r="AZ618" s="27"/>
      <c r="BA618" s="27"/>
      <c r="BB618" s="27"/>
      <c r="BC618" s="28"/>
      <c r="BD618" s="29"/>
      <c r="BE618" s="29"/>
      <c r="BF618" s="27"/>
      <c r="BG618" s="27"/>
      <c r="BH618" s="27"/>
      <c r="BI618" s="27"/>
      <c r="BJ618" s="27"/>
      <c r="BK618" s="27"/>
      <c r="BL618" s="27"/>
      <c r="BM618" s="27"/>
    </row>
    <row r="619">
      <c r="I619" s="27"/>
      <c r="J619" s="27"/>
      <c r="K619" s="27"/>
      <c r="L619" s="27"/>
      <c r="M619" s="28"/>
      <c r="N619" s="29"/>
      <c r="O619" s="29"/>
      <c r="P619" s="29"/>
      <c r="Q619" s="27"/>
      <c r="R619" s="27"/>
      <c r="S619" s="27"/>
      <c r="T619" s="27"/>
      <c r="U619" s="27"/>
      <c r="V619" s="27"/>
      <c r="AE619" s="27"/>
      <c r="AF619" s="27"/>
      <c r="AG619" s="27"/>
      <c r="AH619" s="27"/>
      <c r="AI619" s="28"/>
      <c r="AJ619" s="29"/>
      <c r="AK619" s="29"/>
      <c r="AL619" s="27"/>
      <c r="AM619" s="27"/>
      <c r="AN619" s="27"/>
      <c r="AO619" s="27"/>
      <c r="AP619" s="27"/>
      <c r="AY619" s="27"/>
      <c r="AZ619" s="27"/>
      <c r="BA619" s="27"/>
      <c r="BB619" s="27"/>
      <c r="BC619" s="28"/>
      <c r="BD619" s="29"/>
      <c r="BE619" s="29"/>
      <c r="BF619" s="27"/>
      <c r="BG619" s="27"/>
      <c r="BH619" s="27"/>
      <c r="BI619" s="27"/>
      <c r="BJ619" s="27"/>
      <c r="BK619" s="27"/>
      <c r="BL619" s="27"/>
      <c r="BM619" s="27"/>
    </row>
    <row r="620">
      <c r="I620" s="27"/>
      <c r="J620" s="27"/>
      <c r="K620" s="27"/>
      <c r="L620" s="27"/>
      <c r="M620" s="28"/>
      <c r="N620" s="29"/>
      <c r="O620" s="29"/>
      <c r="P620" s="29"/>
      <c r="Q620" s="27"/>
      <c r="R620" s="27"/>
      <c r="S620" s="27"/>
      <c r="T620" s="27"/>
      <c r="U620" s="27"/>
      <c r="V620" s="27"/>
      <c r="AE620" s="27"/>
      <c r="AF620" s="27"/>
      <c r="AG620" s="27"/>
      <c r="AH620" s="27"/>
      <c r="AI620" s="28"/>
      <c r="AJ620" s="29"/>
      <c r="AK620" s="29"/>
      <c r="AL620" s="27"/>
      <c r="AM620" s="27"/>
      <c r="AN620" s="27"/>
      <c r="AO620" s="27"/>
      <c r="AP620" s="27"/>
      <c r="AY620" s="27"/>
      <c r="AZ620" s="27"/>
      <c r="BA620" s="27"/>
      <c r="BB620" s="27"/>
      <c r="BC620" s="28"/>
      <c r="BD620" s="29"/>
      <c r="BE620" s="29"/>
      <c r="BF620" s="27"/>
      <c r="BG620" s="27"/>
      <c r="BH620" s="27"/>
      <c r="BI620" s="27"/>
      <c r="BJ620" s="27"/>
      <c r="BK620" s="27"/>
      <c r="BL620" s="27"/>
      <c r="BM620" s="27"/>
    </row>
    <row r="621">
      <c r="I621" s="27"/>
      <c r="J621" s="27"/>
      <c r="K621" s="27"/>
      <c r="L621" s="27"/>
      <c r="M621" s="28"/>
      <c r="N621" s="29"/>
      <c r="O621" s="29"/>
      <c r="P621" s="29"/>
      <c r="Q621" s="27"/>
      <c r="R621" s="27"/>
      <c r="S621" s="27"/>
      <c r="T621" s="27"/>
      <c r="U621" s="27"/>
      <c r="V621" s="27"/>
      <c r="AE621" s="27"/>
      <c r="AF621" s="27"/>
      <c r="AG621" s="27"/>
      <c r="AH621" s="27"/>
      <c r="AI621" s="28"/>
      <c r="AJ621" s="29"/>
      <c r="AK621" s="29"/>
      <c r="AL621" s="27"/>
      <c r="AM621" s="27"/>
      <c r="AN621" s="27"/>
      <c r="AO621" s="27"/>
      <c r="AP621" s="27"/>
      <c r="AY621" s="27"/>
      <c r="AZ621" s="27"/>
      <c r="BA621" s="27"/>
      <c r="BB621" s="27"/>
      <c r="BC621" s="28"/>
      <c r="BD621" s="29"/>
      <c r="BE621" s="29"/>
      <c r="BF621" s="27"/>
      <c r="BG621" s="27"/>
      <c r="BH621" s="27"/>
      <c r="BI621" s="27"/>
      <c r="BJ621" s="27"/>
      <c r="BK621" s="27"/>
      <c r="BL621" s="27"/>
      <c r="BM621" s="27"/>
    </row>
    <row r="622">
      <c r="I622" s="27"/>
      <c r="J622" s="27"/>
      <c r="K622" s="27"/>
      <c r="L622" s="27"/>
      <c r="M622" s="28"/>
      <c r="N622" s="29"/>
      <c r="O622" s="29"/>
      <c r="P622" s="29"/>
      <c r="Q622" s="27"/>
      <c r="R622" s="27"/>
      <c r="S622" s="27"/>
      <c r="T622" s="27"/>
      <c r="U622" s="27"/>
      <c r="V622" s="27"/>
      <c r="AE622" s="27"/>
      <c r="AF622" s="27"/>
      <c r="AG622" s="27"/>
      <c r="AH622" s="27"/>
      <c r="AI622" s="28"/>
      <c r="AJ622" s="29"/>
      <c r="AK622" s="29"/>
      <c r="AL622" s="27"/>
      <c r="AM622" s="27"/>
      <c r="AN622" s="27"/>
      <c r="AO622" s="27"/>
      <c r="AP622" s="27"/>
      <c r="AY622" s="27"/>
      <c r="AZ622" s="27"/>
      <c r="BA622" s="27"/>
      <c r="BB622" s="27"/>
      <c r="BC622" s="28"/>
      <c r="BD622" s="29"/>
      <c r="BE622" s="29"/>
      <c r="BF622" s="27"/>
      <c r="BG622" s="27"/>
      <c r="BH622" s="27"/>
      <c r="BI622" s="27"/>
      <c r="BJ622" s="27"/>
      <c r="BK622" s="27"/>
      <c r="BL622" s="27"/>
      <c r="BM622" s="27"/>
    </row>
    <row r="623">
      <c r="I623" s="27"/>
      <c r="J623" s="27"/>
      <c r="K623" s="27"/>
      <c r="L623" s="27"/>
      <c r="M623" s="28"/>
      <c r="N623" s="29"/>
      <c r="O623" s="29"/>
      <c r="P623" s="29"/>
      <c r="Q623" s="27"/>
      <c r="R623" s="27"/>
      <c r="S623" s="27"/>
      <c r="T623" s="27"/>
      <c r="U623" s="27"/>
      <c r="V623" s="27"/>
      <c r="AE623" s="27"/>
      <c r="AF623" s="27"/>
      <c r="AG623" s="27"/>
      <c r="AH623" s="27"/>
      <c r="AI623" s="28"/>
      <c r="AJ623" s="29"/>
      <c r="AK623" s="29"/>
      <c r="AL623" s="27"/>
      <c r="AM623" s="27"/>
      <c r="AN623" s="27"/>
      <c r="AO623" s="27"/>
      <c r="AP623" s="27"/>
      <c r="AY623" s="27"/>
      <c r="AZ623" s="27"/>
      <c r="BA623" s="27"/>
      <c r="BB623" s="27"/>
      <c r="BC623" s="28"/>
      <c r="BD623" s="29"/>
      <c r="BE623" s="29"/>
      <c r="BF623" s="27"/>
      <c r="BG623" s="27"/>
      <c r="BH623" s="27"/>
      <c r="BI623" s="27"/>
      <c r="BJ623" s="27"/>
      <c r="BK623" s="27"/>
      <c r="BL623" s="27"/>
      <c r="BM623" s="27"/>
    </row>
    <row r="624">
      <c r="I624" s="27"/>
      <c r="J624" s="27"/>
      <c r="K624" s="27"/>
      <c r="L624" s="27"/>
      <c r="M624" s="28"/>
      <c r="N624" s="29"/>
      <c r="O624" s="29"/>
      <c r="P624" s="29"/>
      <c r="Q624" s="27"/>
      <c r="R624" s="27"/>
      <c r="S624" s="27"/>
      <c r="T624" s="27"/>
      <c r="U624" s="27"/>
      <c r="V624" s="27"/>
      <c r="AE624" s="27"/>
      <c r="AF624" s="27"/>
      <c r="AG624" s="27"/>
      <c r="AH624" s="27"/>
      <c r="AI624" s="28"/>
      <c r="AJ624" s="29"/>
      <c r="AK624" s="29"/>
      <c r="AL624" s="27"/>
      <c r="AM624" s="27"/>
      <c r="AN624" s="27"/>
      <c r="AO624" s="27"/>
      <c r="AP624" s="27"/>
      <c r="AY624" s="27"/>
      <c r="AZ624" s="27"/>
      <c r="BA624" s="27"/>
      <c r="BB624" s="27"/>
      <c r="BC624" s="28"/>
      <c r="BD624" s="29"/>
      <c r="BE624" s="29"/>
      <c r="BF624" s="27"/>
      <c r="BG624" s="27"/>
      <c r="BH624" s="27"/>
      <c r="BI624" s="27"/>
      <c r="BJ624" s="27"/>
      <c r="BK624" s="27"/>
      <c r="BL624" s="27"/>
      <c r="BM624" s="27"/>
    </row>
    <row r="625">
      <c r="I625" s="27"/>
      <c r="J625" s="27"/>
      <c r="K625" s="27"/>
      <c r="L625" s="27"/>
      <c r="M625" s="28"/>
      <c r="N625" s="29"/>
      <c r="O625" s="29"/>
      <c r="P625" s="29"/>
      <c r="Q625" s="27"/>
      <c r="R625" s="27"/>
      <c r="S625" s="27"/>
      <c r="T625" s="27"/>
      <c r="U625" s="27"/>
      <c r="V625" s="27"/>
      <c r="AE625" s="27"/>
      <c r="AF625" s="27"/>
      <c r="AG625" s="27"/>
      <c r="AH625" s="27"/>
      <c r="AI625" s="28"/>
      <c r="AJ625" s="29"/>
      <c r="AK625" s="29"/>
      <c r="AL625" s="27"/>
      <c r="AM625" s="27"/>
      <c r="AN625" s="27"/>
      <c r="AO625" s="27"/>
      <c r="AP625" s="27"/>
      <c r="AY625" s="27"/>
      <c r="AZ625" s="27"/>
      <c r="BA625" s="27"/>
      <c r="BB625" s="27"/>
      <c r="BC625" s="28"/>
      <c r="BD625" s="29"/>
      <c r="BE625" s="29"/>
      <c r="BF625" s="27"/>
      <c r="BG625" s="27"/>
      <c r="BH625" s="27"/>
      <c r="BI625" s="27"/>
      <c r="BJ625" s="27"/>
      <c r="BK625" s="27"/>
      <c r="BL625" s="27"/>
      <c r="BM625" s="27"/>
    </row>
    <row r="626">
      <c r="I626" s="27"/>
      <c r="J626" s="27"/>
      <c r="K626" s="27"/>
      <c r="L626" s="27"/>
      <c r="M626" s="28"/>
      <c r="N626" s="29"/>
      <c r="O626" s="29"/>
      <c r="P626" s="29"/>
      <c r="Q626" s="27"/>
      <c r="R626" s="27"/>
      <c r="S626" s="27"/>
      <c r="T626" s="27"/>
      <c r="U626" s="27"/>
      <c r="V626" s="27"/>
      <c r="AE626" s="27"/>
      <c r="AF626" s="27"/>
      <c r="AG626" s="27"/>
      <c r="AH626" s="27"/>
      <c r="AI626" s="28"/>
      <c r="AJ626" s="29"/>
      <c r="AK626" s="29"/>
      <c r="AL626" s="27"/>
      <c r="AM626" s="27"/>
      <c r="AN626" s="27"/>
      <c r="AO626" s="27"/>
      <c r="AP626" s="27"/>
      <c r="AY626" s="27"/>
      <c r="AZ626" s="27"/>
      <c r="BA626" s="27"/>
      <c r="BB626" s="27"/>
      <c r="BC626" s="28"/>
      <c r="BD626" s="29"/>
      <c r="BE626" s="29"/>
      <c r="BF626" s="27"/>
      <c r="BG626" s="27"/>
      <c r="BH626" s="27"/>
      <c r="BI626" s="27"/>
      <c r="BJ626" s="27"/>
      <c r="BK626" s="27"/>
      <c r="BL626" s="27"/>
      <c r="BM626" s="27"/>
    </row>
    <row r="627">
      <c r="I627" s="27"/>
      <c r="J627" s="27"/>
      <c r="K627" s="27"/>
      <c r="L627" s="27"/>
      <c r="M627" s="28"/>
      <c r="N627" s="29"/>
      <c r="O627" s="29"/>
      <c r="P627" s="29"/>
      <c r="Q627" s="27"/>
      <c r="R627" s="27"/>
      <c r="S627" s="27"/>
      <c r="T627" s="27"/>
      <c r="U627" s="27"/>
      <c r="V627" s="27"/>
      <c r="AE627" s="27"/>
      <c r="AF627" s="27"/>
      <c r="AG627" s="27"/>
      <c r="AH627" s="27"/>
      <c r="AI627" s="28"/>
      <c r="AJ627" s="29"/>
      <c r="AK627" s="29"/>
      <c r="AL627" s="27"/>
      <c r="AM627" s="27"/>
      <c r="AN627" s="27"/>
      <c r="AO627" s="27"/>
      <c r="AP627" s="27"/>
      <c r="AY627" s="27"/>
      <c r="AZ627" s="27"/>
      <c r="BA627" s="27"/>
      <c r="BB627" s="27"/>
      <c r="BC627" s="28"/>
      <c r="BD627" s="29"/>
      <c r="BE627" s="29"/>
      <c r="BF627" s="27"/>
      <c r="BG627" s="27"/>
      <c r="BH627" s="27"/>
      <c r="BI627" s="27"/>
      <c r="BJ627" s="27"/>
      <c r="BK627" s="27"/>
      <c r="BL627" s="27"/>
      <c r="BM627" s="27"/>
    </row>
    <row r="628">
      <c r="I628" s="27"/>
      <c r="J628" s="27"/>
      <c r="K628" s="27"/>
      <c r="L628" s="27"/>
      <c r="M628" s="28"/>
      <c r="N628" s="29"/>
      <c r="O628" s="29"/>
      <c r="P628" s="29"/>
      <c r="Q628" s="27"/>
      <c r="R628" s="27"/>
      <c r="S628" s="27"/>
      <c r="T628" s="27"/>
      <c r="U628" s="27"/>
      <c r="V628" s="27"/>
      <c r="AE628" s="27"/>
      <c r="AF628" s="27"/>
      <c r="AG628" s="27"/>
      <c r="AH628" s="27"/>
      <c r="AI628" s="28"/>
      <c r="AJ628" s="29"/>
      <c r="AK628" s="29"/>
      <c r="AL628" s="27"/>
      <c r="AM628" s="27"/>
      <c r="AN628" s="27"/>
      <c r="AO628" s="27"/>
      <c r="AP628" s="27"/>
      <c r="AY628" s="27"/>
      <c r="AZ628" s="27"/>
      <c r="BA628" s="27"/>
      <c r="BB628" s="27"/>
      <c r="BC628" s="28"/>
      <c r="BD628" s="29"/>
      <c r="BE628" s="29"/>
      <c r="BF628" s="27"/>
      <c r="BG628" s="27"/>
      <c r="BH628" s="27"/>
      <c r="BI628" s="27"/>
      <c r="BJ628" s="27"/>
      <c r="BK628" s="27"/>
      <c r="BL628" s="27"/>
      <c r="BM628" s="27"/>
    </row>
    <row r="629">
      <c r="I629" s="27"/>
      <c r="J629" s="27"/>
      <c r="K629" s="27"/>
      <c r="L629" s="27"/>
      <c r="M629" s="28"/>
      <c r="N629" s="29"/>
      <c r="O629" s="29"/>
      <c r="P629" s="29"/>
      <c r="Q629" s="27"/>
      <c r="R629" s="27"/>
      <c r="S629" s="27"/>
      <c r="T629" s="27"/>
      <c r="U629" s="27"/>
      <c r="V629" s="27"/>
      <c r="AE629" s="27"/>
      <c r="AF629" s="27"/>
      <c r="AG629" s="27"/>
      <c r="AH629" s="27"/>
      <c r="AI629" s="28"/>
      <c r="AJ629" s="29"/>
      <c r="AK629" s="29"/>
      <c r="AL629" s="27"/>
      <c r="AM629" s="27"/>
      <c r="AN629" s="27"/>
      <c r="AO629" s="27"/>
      <c r="AP629" s="27"/>
      <c r="AY629" s="27"/>
      <c r="AZ629" s="27"/>
      <c r="BA629" s="27"/>
      <c r="BB629" s="27"/>
      <c r="BC629" s="28"/>
      <c r="BD629" s="29"/>
      <c r="BE629" s="29"/>
      <c r="BF629" s="27"/>
      <c r="BG629" s="27"/>
      <c r="BH629" s="27"/>
      <c r="BI629" s="27"/>
      <c r="BJ629" s="27"/>
      <c r="BK629" s="27"/>
      <c r="BL629" s="27"/>
      <c r="BM629" s="27"/>
    </row>
    <row r="630">
      <c r="I630" s="27"/>
      <c r="J630" s="27"/>
      <c r="K630" s="27"/>
      <c r="L630" s="27"/>
      <c r="M630" s="28"/>
      <c r="N630" s="29"/>
      <c r="O630" s="29"/>
      <c r="P630" s="29"/>
      <c r="Q630" s="27"/>
      <c r="R630" s="27"/>
      <c r="S630" s="27"/>
      <c r="T630" s="27"/>
      <c r="U630" s="27"/>
      <c r="V630" s="27"/>
      <c r="AE630" s="27"/>
      <c r="AF630" s="27"/>
      <c r="AG630" s="27"/>
      <c r="AH630" s="27"/>
      <c r="AI630" s="28"/>
      <c r="AJ630" s="29"/>
      <c r="AK630" s="29"/>
      <c r="AL630" s="27"/>
      <c r="AM630" s="27"/>
      <c r="AN630" s="27"/>
      <c r="AO630" s="27"/>
      <c r="AP630" s="27"/>
      <c r="AY630" s="27"/>
      <c r="AZ630" s="27"/>
      <c r="BA630" s="27"/>
      <c r="BB630" s="27"/>
      <c r="BC630" s="28"/>
      <c r="BD630" s="29"/>
      <c r="BE630" s="29"/>
      <c r="BF630" s="27"/>
      <c r="BG630" s="27"/>
      <c r="BH630" s="27"/>
      <c r="BI630" s="27"/>
      <c r="BJ630" s="27"/>
      <c r="BK630" s="27"/>
      <c r="BL630" s="27"/>
      <c r="BM630" s="27"/>
    </row>
    <row r="631">
      <c r="I631" s="27"/>
      <c r="J631" s="27"/>
      <c r="K631" s="27"/>
      <c r="L631" s="27"/>
      <c r="M631" s="28"/>
      <c r="N631" s="29"/>
      <c r="O631" s="29"/>
      <c r="P631" s="29"/>
      <c r="Q631" s="27"/>
      <c r="R631" s="27"/>
      <c r="S631" s="27"/>
      <c r="T631" s="27"/>
      <c r="U631" s="27"/>
      <c r="V631" s="27"/>
      <c r="AE631" s="27"/>
      <c r="AF631" s="27"/>
      <c r="AG631" s="27"/>
      <c r="AH631" s="27"/>
      <c r="AI631" s="28"/>
      <c r="AJ631" s="29"/>
      <c r="AK631" s="29"/>
      <c r="AL631" s="27"/>
      <c r="AM631" s="27"/>
      <c r="AN631" s="27"/>
      <c r="AO631" s="27"/>
      <c r="AP631" s="27"/>
      <c r="AY631" s="27"/>
      <c r="AZ631" s="27"/>
      <c r="BA631" s="27"/>
      <c r="BB631" s="27"/>
      <c r="BC631" s="28"/>
      <c r="BD631" s="29"/>
      <c r="BE631" s="29"/>
      <c r="BF631" s="27"/>
      <c r="BG631" s="27"/>
      <c r="BH631" s="27"/>
      <c r="BI631" s="27"/>
      <c r="BJ631" s="27"/>
      <c r="BK631" s="27"/>
      <c r="BL631" s="27"/>
      <c r="BM631" s="27"/>
    </row>
    <row r="632">
      <c r="I632" s="27"/>
      <c r="J632" s="27"/>
      <c r="K632" s="27"/>
      <c r="L632" s="27"/>
      <c r="M632" s="28"/>
      <c r="N632" s="29"/>
      <c r="O632" s="29"/>
      <c r="P632" s="29"/>
      <c r="Q632" s="27"/>
      <c r="R632" s="27"/>
      <c r="S632" s="27"/>
      <c r="T632" s="27"/>
      <c r="U632" s="27"/>
      <c r="V632" s="27"/>
      <c r="AE632" s="27"/>
      <c r="AF632" s="27"/>
      <c r="AG632" s="27"/>
      <c r="AH632" s="27"/>
      <c r="AI632" s="28"/>
      <c r="AJ632" s="29"/>
      <c r="AK632" s="29"/>
      <c r="AL632" s="27"/>
      <c r="AM632" s="27"/>
      <c r="AN632" s="27"/>
      <c r="AO632" s="27"/>
      <c r="AP632" s="27"/>
      <c r="AY632" s="27"/>
      <c r="AZ632" s="27"/>
      <c r="BA632" s="27"/>
      <c r="BB632" s="27"/>
      <c r="BC632" s="28"/>
      <c r="BD632" s="29"/>
      <c r="BE632" s="29"/>
      <c r="BF632" s="27"/>
      <c r="BG632" s="27"/>
      <c r="BH632" s="27"/>
      <c r="BI632" s="27"/>
      <c r="BJ632" s="27"/>
      <c r="BK632" s="27"/>
      <c r="BL632" s="27"/>
      <c r="BM632" s="27"/>
    </row>
    <row r="633">
      <c r="I633" s="27"/>
      <c r="J633" s="27"/>
      <c r="K633" s="27"/>
      <c r="L633" s="27"/>
      <c r="M633" s="28"/>
      <c r="N633" s="29"/>
      <c r="O633" s="29"/>
      <c r="P633" s="29"/>
      <c r="Q633" s="27"/>
      <c r="R633" s="27"/>
      <c r="S633" s="27"/>
      <c r="T633" s="27"/>
      <c r="U633" s="27"/>
      <c r="V633" s="27"/>
      <c r="AE633" s="27"/>
      <c r="AF633" s="27"/>
      <c r="AG633" s="27"/>
      <c r="AH633" s="27"/>
      <c r="AI633" s="28"/>
      <c r="AJ633" s="29"/>
      <c r="AK633" s="29"/>
      <c r="AL633" s="27"/>
      <c r="AM633" s="27"/>
      <c r="AN633" s="27"/>
      <c r="AO633" s="27"/>
      <c r="AP633" s="27"/>
      <c r="AY633" s="27"/>
      <c r="AZ633" s="27"/>
      <c r="BA633" s="27"/>
      <c r="BB633" s="27"/>
      <c r="BC633" s="28"/>
      <c r="BD633" s="29"/>
      <c r="BE633" s="29"/>
      <c r="BF633" s="27"/>
      <c r="BG633" s="27"/>
      <c r="BH633" s="27"/>
      <c r="BI633" s="27"/>
      <c r="BJ633" s="27"/>
      <c r="BK633" s="27"/>
      <c r="BL633" s="27"/>
      <c r="BM633" s="27"/>
    </row>
    <row r="634">
      <c r="I634" s="27"/>
      <c r="J634" s="27"/>
      <c r="K634" s="27"/>
      <c r="L634" s="27"/>
      <c r="M634" s="28"/>
      <c r="N634" s="29"/>
      <c r="O634" s="29"/>
      <c r="P634" s="29"/>
      <c r="Q634" s="27"/>
      <c r="R634" s="27"/>
      <c r="S634" s="27"/>
      <c r="T634" s="27"/>
      <c r="U634" s="27"/>
      <c r="V634" s="27"/>
      <c r="AE634" s="27"/>
      <c r="AF634" s="27"/>
      <c r="AG634" s="27"/>
      <c r="AH634" s="27"/>
      <c r="AI634" s="28"/>
      <c r="AJ634" s="29"/>
      <c r="AK634" s="29"/>
      <c r="AL634" s="27"/>
      <c r="AM634" s="27"/>
      <c r="AN634" s="27"/>
      <c r="AO634" s="27"/>
      <c r="AP634" s="27"/>
      <c r="AY634" s="27"/>
      <c r="AZ634" s="27"/>
      <c r="BA634" s="27"/>
      <c r="BB634" s="27"/>
      <c r="BC634" s="28"/>
      <c r="BD634" s="29"/>
      <c r="BE634" s="29"/>
      <c r="BF634" s="27"/>
      <c r="BG634" s="27"/>
      <c r="BH634" s="27"/>
      <c r="BI634" s="27"/>
      <c r="BJ634" s="27"/>
      <c r="BK634" s="27"/>
      <c r="BL634" s="27"/>
      <c r="BM634" s="27"/>
    </row>
    <row r="635">
      <c r="I635" s="27"/>
      <c r="J635" s="27"/>
      <c r="K635" s="27"/>
      <c r="L635" s="27"/>
      <c r="M635" s="28"/>
      <c r="N635" s="29"/>
      <c r="O635" s="29"/>
      <c r="P635" s="29"/>
      <c r="Q635" s="27"/>
      <c r="R635" s="27"/>
      <c r="S635" s="27"/>
      <c r="T635" s="27"/>
      <c r="U635" s="27"/>
      <c r="V635" s="27"/>
      <c r="AE635" s="27"/>
      <c r="AF635" s="27"/>
      <c r="AG635" s="27"/>
      <c r="AH635" s="27"/>
      <c r="AI635" s="28"/>
      <c r="AJ635" s="29"/>
      <c r="AK635" s="29"/>
      <c r="AL635" s="27"/>
      <c r="AM635" s="27"/>
      <c r="AN635" s="27"/>
      <c r="AO635" s="27"/>
      <c r="AP635" s="27"/>
      <c r="AY635" s="27"/>
      <c r="AZ635" s="27"/>
      <c r="BA635" s="27"/>
      <c r="BB635" s="27"/>
      <c r="BC635" s="28"/>
      <c r="BD635" s="29"/>
      <c r="BE635" s="29"/>
      <c r="BF635" s="27"/>
      <c r="BG635" s="27"/>
      <c r="BH635" s="27"/>
      <c r="BI635" s="27"/>
      <c r="BJ635" s="27"/>
      <c r="BK635" s="27"/>
      <c r="BL635" s="27"/>
      <c r="BM635" s="27"/>
    </row>
    <row r="636">
      <c r="I636" s="27"/>
      <c r="J636" s="27"/>
      <c r="K636" s="27"/>
      <c r="L636" s="27"/>
      <c r="M636" s="28"/>
      <c r="N636" s="29"/>
      <c r="O636" s="29"/>
      <c r="P636" s="29"/>
      <c r="Q636" s="27"/>
      <c r="R636" s="27"/>
      <c r="S636" s="27"/>
      <c r="T636" s="27"/>
      <c r="U636" s="27"/>
      <c r="V636" s="27"/>
      <c r="AE636" s="27"/>
      <c r="AF636" s="27"/>
      <c r="AG636" s="27"/>
      <c r="AH636" s="27"/>
      <c r="AI636" s="28"/>
      <c r="AJ636" s="29"/>
      <c r="AK636" s="29"/>
      <c r="AL636" s="27"/>
      <c r="AM636" s="27"/>
      <c r="AN636" s="27"/>
      <c r="AO636" s="27"/>
      <c r="AP636" s="27"/>
      <c r="AY636" s="27"/>
      <c r="AZ636" s="27"/>
      <c r="BA636" s="27"/>
      <c r="BB636" s="27"/>
      <c r="BC636" s="28"/>
      <c r="BD636" s="29"/>
      <c r="BE636" s="29"/>
      <c r="BF636" s="27"/>
      <c r="BG636" s="27"/>
      <c r="BH636" s="27"/>
      <c r="BI636" s="27"/>
      <c r="BJ636" s="27"/>
      <c r="BK636" s="27"/>
      <c r="BL636" s="27"/>
      <c r="BM636" s="27"/>
    </row>
    <row r="637">
      <c r="I637" s="27"/>
      <c r="J637" s="27"/>
      <c r="K637" s="27"/>
      <c r="L637" s="27"/>
      <c r="M637" s="28"/>
      <c r="N637" s="29"/>
      <c r="O637" s="29"/>
      <c r="P637" s="29"/>
      <c r="Q637" s="27"/>
      <c r="R637" s="27"/>
      <c r="S637" s="27"/>
      <c r="T637" s="27"/>
      <c r="U637" s="27"/>
      <c r="V637" s="27"/>
      <c r="AE637" s="27"/>
      <c r="AF637" s="27"/>
      <c r="AG637" s="27"/>
      <c r="AH637" s="27"/>
      <c r="AI637" s="28"/>
      <c r="AJ637" s="29"/>
      <c r="AK637" s="29"/>
      <c r="AL637" s="27"/>
      <c r="AM637" s="27"/>
      <c r="AN637" s="27"/>
      <c r="AO637" s="27"/>
      <c r="AP637" s="27"/>
      <c r="AY637" s="27"/>
      <c r="AZ637" s="27"/>
      <c r="BA637" s="27"/>
      <c r="BB637" s="27"/>
      <c r="BC637" s="28"/>
      <c r="BD637" s="29"/>
      <c r="BE637" s="29"/>
      <c r="BF637" s="27"/>
      <c r="BG637" s="27"/>
      <c r="BH637" s="27"/>
      <c r="BI637" s="27"/>
      <c r="BJ637" s="27"/>
      <c r="BK637" s="27"/>
      <c r="BL637" s="27"/>
      <c r="BM637" s="27"/>
    </row>
    <row r="638">
      <c r="I638" s="27"/>
      <c r="J638" s="27"/>
      <c r="K638" s="27"/>
      <c r="L638" s="27"/>
      <c r="M638" s="28"/>
      <c r="N638" s="29"/>
      <c r="O638" s="29"/>
      <c r="P638" s="29"/>
      <c r="Q638" s="27"/>
      <c r="R638" s="27"/>
      <c r="S638" s="27"/>
      <c r="T638" s="27"/>
      <c r="U638" s="27"/>
      <c r="V638" s="27"/>
      <c r="AE638" s="27"/>
      <c r="AF638" s="27"/>
      <c r="AG638" s="27"/>
      <c r="AH638" s="27"/>
      <c r="AI638" s="28"/>
      <c r="AJ638" s="29"/>
      <c r="AK638" s="29"/>
      <c r="AL638" s="27"/>
      <c r="AM638" s="27"/>
      <c r="AN638" s="27"/>
      <c r="AO638" s="27"/>
      <c r="AP638" s="27"/>
      <c r="AY638" s="27"/>
      <c r="AZ638" s="27"/>
      <c r="BA638" s="27"/>
      <c r="BB638" s="27"/>
      <c r="BC638" s="28"/>
      <c r="BD638" s="29"/>
      <c r="BE638" s="29"/>
      <c r="BF638" s="27"/>
      <c r="BG638" s="27"/>
      <c r="BH638" s="27"/>
      <c r="BI638" s="27"/>
      <c r="BJ638" s="27"/>
      <c r="BK638" s="27"/>
      <c r="BL638" s="27"/>
      <c r="BM638" s="27"/>
    </row>
    <row r="639">
      <c r="I639" s="27"/>
      <c r="J639" s="27"/>
      <c r="K639" s="27"/>
      <c r="L639" s="27"/>
      <c r="M639" s="28"/>
      <c r="N639" s="29"/>
      <c r="O639" s="29"/>
      <c r="P639" s="29"/>
      <c r="Q639" s="27"/>
      <c r="R639" s="27"/>
      <c r="S639" s="27"/>
      <c r="T639" s="27"/>
      <c r="U639" s="27"/>
      <c r="V639" s="27"/>
      <c r="AE639" s="27"/>
      <c r="AF639" s="27"/>
      <c r="AG639" s="27"/>
      <c r="AH639" s="27"/>
      <c r="AI639" s="28"/>
      <c r="AJ639" s="29"/>
      <c r="AK639" s="29"/>
      <c r="AL639" s="27"/>
      <c r="AM639" s="27"/>
      <c r="AN639" s="27"/>
      <c r="AO639" s="27"/>
      <c r="AP639" s="27"/>
      <c r="AY639" s="27"/>
      <c r="AZ639" s="27"/>
      <c r="BA639" s="27"/>
      <c r="BB639" s="27"/>
      <c r="BC639" s="28"/>
      <c r="BD639" s="29"/>
      <c r="BE639" s="29"/>
      <c r="BF639" s="27"/>
      <c r="BG639" s="27"/>
      <c r="BH639" s="27"/>
      <c r="BI639" s="27"/>
      <c r="BJ639" s="27"/>
      <c r="BK639" s="27"/>
      <c r="BL639" s="27"/>
      <c r="BM639" s="27"/>
    </row>
    <row r="640">
      <c r="I640" s="27"/>
      <c r="J640" s="27"/>
      <c r="K640" s="27"/>
      <c r="L640" s="27"/>
      <c r="M640" s="28"/>
      <c r="N640" s="29"/>
      <c r="O640" s="29"/>
      <c r="P640" s="29"/>
      <c r="Q640" s="27"/>
      <c r="R640" s="27"/>
      <c r="S640" s="27"/>
      <c r="T640" s="27"/>
      <c r="U640" s="27"/>
      <c r="V640" s="27"/>
      <c r="AE640" s="27"/>
      <c r="AF640" s="27"/>
      <c r="AG640" s="27"/>
      <c r="AH640" s="27"/>
      <c r="AI640" s="28"/>
      <c r="AJ640" s="29"/>
      <c r="AK640" s="29"/>
      <c r="AL640" s="27"/>
      <c r="AM640" s="27"/>
      <c r="AN640" s="27"/>
      <c r="AO640" s="27"/>
      <c r="AP640" s="27"/>
      <c r="AY640" s="27"/>
      <c r="AZ640" s="27"/>
      <c r="BA640" s="27"/>
      <c r="BB640" s="27"/>
      <c r="BC640" s="28"/>
      <c r="BD640" s="29"/>
      <c r="BE640" s="29"/>
      <c r="BF640" s="27"/>
      <c r="BG640" s="27"/>
      <c r="BH640" s="27"/>
      <c r="BI640" s="27"/>
      <c r="BJ640" s="27"/>
      <c r="BK640" s="27"/>
      <c r="BL640" s="27"/>
      <c r="BM640" s="27"/>
    </row>
    <row r="641">
      <c r="I641" s="27"/>
      <c r="J641" s="27"/>
      <c r="K641" s="27"/>
      <c r="L641" s="27"/>
      <c r="M641" s="28"/>
      <c r="N641" s="29"/>
      <c r="O641" s="29"/>
      <c r="P641" s="29"/>
      <c r="Q641" s="27"/>
      <c r="R641" s="27"/>
      <c r="S641" s="27"/>
      <c r="T641" s="27"/>
      <c r="U641" s="27"/>
      <c r="V641" s="27"/>
      <c r="AE641" s="27"/>
      <c r="AF641" s="27"/>
      <c r="AG641" s="27"/>
      <c r="AH641" s="27"/>
      <c r="AI641" s="28"/>
      <c r="AJ641" s="29"/>
      <c r="AK641" s="29"/>
      <c r="AL641" s="27"/>
      <c r="AM641" s="27"/>
      <c r="AN641" s="27"/>
      <c r="AO641" s="27"/>
      <c r="AP641" s="27"/>
      <c r="AY641" s="27"/>
      <c r="AZ641" s="27"/>
      <c r="BA641" s="27"/>
      <c r="BB641" s="27"/>
      <c r="BC641" s="28"/>
      <c r="BD641" s="29"/>
      <c r="BE641" s="29"/>
      <c r="BF641" s="27"/>
      <c r="BG641" s="27"/>
      <c r="BH641" s="27"/>
      <c r="BI641" s="27"/>
      <c r="BJ641" s="27"/>
      <c r="BK641" s="27"/>
      <c r="BL641" s="27"/>
      <c r="BM641" s="27"/>
    </row>
    <row r="642">
      <c r="I642" s="27"/>
      <c r="J642" s="27"/>
      <c r="K642" s="27"/>
      <c r="L642" s="27"/>
      <c r="M642" s="28"/>
      <c r="N642" s="29"/>
      <c r="O642" s="29"/>
      <c r="P642" s="29"/>
      <c r="Q642" s="27"/>
      <c r="R642" s="27"/>
      <c r="S642" s="27"/>
      <c r="T642" s="27"/>
      <c r="U642" s="27"/>
      <c r="V642" s="27"/>
      <c r="AE642" s="27"/>
      <c r="AF642" s="27"/>
      <c r="AG642" s="27"/>
      <c r="AH642" s="27"/>
      <c r="AI642" s="28"/>
      <c r="AJ642" s="29"/>
      <c r="AK642" s="29"/>
      <c r="AL642" s="27"/>
      <c r="AM642" s="27"/>
      <c r="AN642" s="27"/>
      <c r="AO642" s="27"/>
      <c r="AP642" s="27"/>
      <c r="AY642" s="27"/>
      <c r="AZ642" s="27"/>
      <c r="BA642" s="27"/>
      <c r="BB642" s="27"/>
      <c r="BC642" s="28"/>
      <c r="BD642" s="29"/>
      <c r="BE642" s="29"/>
      <c r="BF642" s="27"/>
      <c r="BG642" s="27"/>
      <c r="BH642" s="27"/>
      <c r="BI642" s="27"/>
      <c r="BJ642" s="27"/>
      <c r="BK642" s="27"/>
      <c r="BL642" s="27"/>
      <c r="BM642" s="27"/>
    </row>
    <row r="643">
      <c r="I643" s="27"/>
      <c r="J643" s="27"/>
      <c r="K643" s="27"/>
      <c r="L643" s="27"/>
      <c r="M643" s="28"/>
      <c r="N643" s="29"/>
      <c r="O643" s="29"/>
      <c r="P643" s="29"/>
      <c r="Q643" s="27"/>
      <c r="R643" s="27"/>
      <c r="S643" s="27"/>
      <c r="T643" s="27"/>
      <c r="U643" s="27"/>
      <c r="V643" s="27"/>
      <c r="AE643" s="27"/>
      <c r="AF643" s="27"/>
      <c r="AG643" s="27"/>
      <c r="AH643" s="27"/>
      <c r="AI643" s="28"/>
      <c r="AJ643" s="29"/>
      <c r="AK643" s="29"/>
      <c r="AL643" s="27"/>
      <c r="AM643" s="27"/>
      <c r="AN643" s="27"/>
      <c r="AO643" s="27"/>
      <c r="AP643" s="27"/>
      <c r="AY643" s="27"/>
      <c r="AZ643" s="27"/>
      <c r="BA643" s="27"/>
      <c r="BB643" s="27"/>
      <c r="BC643" s="28"/>
      <c r="BD643" s="29"/>
      <c r="BE643" s="29"/>
      <c r="BF643" s="27"/>
      <c r="BG643" s="27"/>
      <c r="BH643" s="27"/>
      <c r="BI643" s="27"/>
      <c r="BJ643" s="27"/>
      <c r="BK643" s="27"/>
      <c r="BL643" s="27"/>
      <c r="BM643" s="27"/>
    </row>
    <row r="644">
      <c r="I644" s="27"/>
      <c r="J644" s="27"/>
      <c r="K644" s="27"/>
      <c r="L644" s="27"/>
      <c r="M644" s="28"/>
      <c r="N644" s="29"/>
      <c r="O644" s="29"/>
      <c r="P644" s="29"/>
      <c r="Q644" s="27"/>
      <c r="R644" s="27"/>
      <c r="S644" s="27"/>
      <c r="T644" s="27"/>
      <c r="U644" s="27"/>
      <c r="V644" s="27"/>
      <c r="AE644" s="27"/>
      <c r="AF644" s="27"/>
      <c r="AG644" s="27"/>
      <c r="AH644" s="27"/>
      <c r="AI644" s="28"/>
      <c r="AJ644" s="29"/>
      <c r="AK644" s="29"/>
      <c r="AL644" s="27"/>
      <c r="AM644" s="27"/>
      <c r="AN644" s="27"/>
      <c r="AO644" s="27"/>
      <c r="AP644" s="27"/>
      <c r="AY644" s="27"/>
      <c r="AZ644" s="27"/>
      <c r="BA644" s="27"/>
      <c r="BB644" s="27"/>
      <c r="BC644" s="28"/>
      <c r="BD644" s="29"/>
      <c r="BE644" s="29"/>
      <c r="BF644" s="27"/>
      <c r="BG644" s="27"/>
      <c r="BH644" s="27"/>
      <c r="BI644" s="27"/>
      <c r="BJ644" s="27"/>
      <c r="BK644" s="27"/>
      <c r="BL644" s="27"/>
      <c r="BM644" s="27"/>
    </row>
    <row r="645">
      <c r="I645" s="27"/>
      <c r="J645" s="27"/>
      <c r="K645" s="27"/>
      <c r="L645" s="27"/>
      <c r="M645" s="28"/>
      <c r="N645" s="29"/>
      <c r="O645" s="29"/>
      <c r="P645" s="29"/>
      <c r="Q645" s="27"/>
      <c r="R645" s="27"/>
      <c r="S645" s="27"/>
      <c r="T645" s="27"/>
      <c r="U645" s="27"/>
      <c r="V645" s="27"/>
      <c r="AE645" s="27"/>
      <c r="AF645" s="27"/>
      <c r="AG645" s="27"/>
      <c r="AH645" s="27"/>
      <c r="AI645" s="28"/>
      <c r="AJ645" s="29"/>
      <c r="AK645" s="29"/>
      <c r="AL645" s="27"/>
      <c r="AM645" s="27"/>
      <c r="AN645" s="27"/>
      <c r="AO645" s="27"/>
      <c r="AP645" s="27"/>
      <c r="AY645" s="27"/>
      <c r="AZ645" s="27"/>
      <c r="BA645" s="27"/>
      <c r="BB645" s="27"/>
      <c r="BC645" s="28"/>
      <c r="BD645" s="29"/>
      <c r="BE645" s="29"/>
      <c r="BF645" s="27"/>
      <c r="BG645" s="27"/>
      <c r="BH645" s="27"/>
      <c r="BI645" s="27"/>
      <c r="BJ645" s="27"/>
      <c r="BK645" s="27"/>
      <c r="BL645" s="27"/>
      <c r="BM645" s="27"/>
    </row>
    <row r="646">
      <c r="I646" s="27"/>
      <c r="J646" s="27"/>
      <c r="K646" s="27"/>
      <c r="L646" s="27"/>
      <c r="M646" s="28"/>
      <c r="N646" s="29"/>
      <c r="O646" s="29"/>
      <c r="P646" s="29"/>
      <c r="Q646" s="27"/>
      <c r="R646" s="27"/>
      <c r="S646" s="27"/>
      <c r="T646" s="27"/>
      <c r="U646" s="27"/>
      <c r="V646" s="27"/>
      <c r="AE646" s="27"/>
      <c r="AF646" s="27"/>
      <c r="AG646" s="27"/>
      <c r="AH646" s="27"/>
      <c r="AI646" s="28"/>
      <c r="AJ646" s="29"/>
      <c r="AK646" s="29"/>
      <c r="AL646" s="27"/>
      <c r="AM646" s="27"/>
      <c r="AN646" s="27"/>
      <c r="AO646" s="27"/>
      <c r="AP646" s="27"/>
      <c r="AY646" s="27"/>
      <c r="AZ646" s="27"/>
      <c r="BA646" s="27"/>
      <c r="BB646" s="27"/>
      <c r="BC646" s="28"/>
      <c r="BD646" s="29"/>
      <c r="BE646" s="29"/>
      <c r="BF646" s="27"/>
      <c r="BG646" s="27"/>
      <c r="BH646" s="27"/>
      <c r="BI646" s="27"/>
      <c r="BJ646" s="27"/>
      <c r="BK646" s="27"/>
      <c r="BL646" s="27"/>
      <c r="BM646" s="27"/>
    </row>
    <row r="647">
      <c r="I647" s="27"/>
      <c r="J647" s="27"/>
      <c r="K647" s="27"/>
      <c r="L647" s="27"/>
      <c r="M647" s="28"/>
      <c r="N647" s="29"/>
      <c r="O647" s="29"/>
      <c r="P647" s="29"/>
      <c r="Q647" s="27"/>
      <c r="R647" s="27"/>
      <c r="S647" s="27"/>
      <c r="T647" s="27"/>
      <c r="U647" s="27"/>
      <c r="V647" s="27"/>
      <c r="AE647" s="27"/>
      <c r="AF647" s="27"/>
      <c r="AG647" s="27"/>
      <c r="AH647" s="27"/>
      <c r="AI647" s="28"/>
      <c r="AJ647" s="29"/>
      <c r="AK647" s="29"/>
      <c r="AL647" s="27"/>
      <c r="AM647" s="27"/>
      <c r="AN647" s="27"/>
      <c r="AO647" s="27"/>
      <c r="AP647" s="27"/>
      <c r="AY647" s="27"/>
      <c r="AZ647" s="27"/>
      <c r="BA647" s="27"/>
      <c r="BB647" s="27"/>
      <c r="BC647" s="28"/>
      <c r="BD647" s="29"/>
      <c r="BE647" s="29"/>
      <c r="BF647" s="27"/>
      <c r="BG647" s="27"/>
      <c r="BH647" s="27"/>
      <c r="BI647" s="27"/>
      <c r="BJ647" s="27"/>
      <c r="BK647" s="27"/>
      <c r="BL647" s="27"/>
      <c r="BM647" s="27"/>
    </row>
    <row r="648">
      <c r="I648" s="27"/>
      <c r="J648" s="27"/>
      <c r="K648" s="27"/>
      <c r="L648" s="27"/>
      <c r="M648" s="28"/>
      <c r="N648" s="29"/>
      <c r="O648" s="29"/>
      <c r="P648" s="29"/>
      <c r="Q648" s="27"/>
      <c r="R648" s="27"/>
      <c r="S648" s="27"/>
      <c r="T648" s="27"/>
      <c r="U648" s="27"/>
      <c r="V648" s="27"/>
      <c r="AE648" s="27"/>
      <c r="AF648" s="27"/>
      <c r="AG648" s="27"/>
      <c r="AH648" s="27"/>
      <c r="AI648" s="28"/>
      <c r="AJ648" s="29"/>
      <c r="AK648" s="29"/>
      <c r="AL648" s="27"/>
      <c r="AM648" s="27"/>
      <c r="AN648" s="27"/>
      <c r="AO648" s="27"/>
      <c r="AP648" s="27"/>
      <c r="AY648" s="27"/>
      <c r="AZ648" s="27"/>
      <c r="BA648" s="27"/>
      <c r="BB648" s="27"/>
      <c r="BC648" s="28"/>
      <c r="BD648" s="29"/>
      <c r="BE648" s="29"/>
      <c r="BF648" s="27"/>
      <c r="BG648" s="27"/>
      <c r="BH648" s="27"/>
      <c r="BI648" s="27"/>
      <c r="BJ648" s="27"/>
      <c r="BK648" s="27"/>
      <c r="BL648" s="27"/>
      <c r="BM648" s="27"/>
    </row>
    <row r="649">
      <c r="I649" s="27"/>
      <c r="J649" s="27"/>
      <c r="K649" s="27"/>
      <c r="L649" s="27"/>
      <c r="M649" s="28"/>
      <c r="N649" s="29"/>
      <c r="O649" s="29"/>
      <c r="P649" s="29"/>
      <c r="Q649" s="27"/>
      <c r="R649" s="27"/>
      <c r="S649" s="27"/>
      <c r="T649" s="27"/>
      <c r="U649" s="27"/>
      <c r="V649" s="27"/>
      <c r="AE649" s="27"/>
      <c r="AF649" s="27"/>
      <c r="AG649" s="27"/>
      <c r="AH649" s="27"/>
      <c r="AI649" s="28"/>
      <c r="AJ649" s="29"/>
      <c r="AK649" s="29"/>
      <c r="AL649" s="27"/>
      <c r="AM649" s="27"/>
      <c r="AN649" s="27"/>
      <c r="AO649" s="27"/>
      <c r="AP649" s="27"/>
      <c r="AY649" s="27"/>
      <c r="AZ649" s="27"/>
      <c r="BA649" s="27"/>
      <c r="BB649" s="27"/>
      <c r="BC649" s="28"/>
      <c r="BD649" s="29"/>
      <c r="BE649" s="29"/>
      <c r="BF649" s="27"/>
      <c r="BG649" s="27"/>
      <c r="BH649" s="27"/>
      <c r="BI649" s="27"/>
      <c r="BJ649" s="27"/>
      <c r="BK649" s="27"/>
      <c r="BL649" s="27"/>
      <c r="BM649" s="27"/>
    </row>
    <row r="650">
      <c r="I650" s="27"/>
      <c r="J650" s="27"/>
      <c r="K650" s="27"/>
      <c r="L650" s="27"/>
      <c r="M650" s="28"/>
      <c r="N650" s="29"/>
      <c r="O650" s="29"/>
      <c r="P650" s="29"/>
      <c r="Q650" s="27"/>
      <c r="R650" s="27"/>
      <c r="S650" s="27"/>
      <c r="T650" s="27"/>
      <c r="U650" s="27"/>
      <c r="V650" s="27"/>
      <c r="AE650" s="27"/>
      <c r="AF650" s="27"/>
      <c r="AG650" s="27"/>
      <c r="AH650" s="27"/>
      <c r="AI650" s="28"/>
      <c r="AJ650" s="29"/>
      <c r="AK650" s="29"/>
      <c r="AL650" s="27"/>
      <c r="AM650" s="27"/>
      <c r="AN650" s="27"/>
      <c r="AO650" s="27"/>
      <c r="AP650" s="27"/>
      <c r="AY650" s="27"/>
      <c r="AZ650" s="27"/>
      <c r="BA650" s="27"/>
      <c r="BB650" s="27"/>
      <c r="BC650" s="28"/>
      <c r="BD650" s="29"/>
      <c r="BE650" s="29"/>
      <c r="BF650" s="27"/>
      <c r="BG650" s="27"/>
      <c r="BH650" s="27"/>
      <c r="BI650" s="27"/>
      <c r="BJ650" s="27"/>
      <c r="BK650" s="27"/>
      <c r="BL650" s="27"/>
      <c r="BM650" s="27"/>
    </row>
    <row r="651">
      <c r="I651" s="27"/>
      <c r="J651" s="27"/>
      <c r="K651" s="27"/>
      <c r="L651" s="27"/>
      <c r="M651" s="28"/>
      <c r="N651" s="29"/>
      <c r="O651" s="29"/>
      <c r="P651" s="29"/>
      <c r="Q651" s="27"/>
      <c r="R651" s="27"/>
      <c r="S651" s="27"/>
      <c r="T651" s="27"/>
      <c r="U651" s="27"/>
      <c r="V651" s="27"/>
      <c r="AE651" s="27"/>
      <c r="AF651" s="27"/>
      <c r="AG651" s="27"/>
      <c r="AH651" s="27"/>
      <c r="AI651" s="28"/>
      <c r="AJ651" s="29"/>
      <c r="AK651" s="29"/>
      <c r="AL651" s="27"/>
      <c r="AM651" s="27"/>
      <c r="AN651" s="27"/>
      <c r="AO651" s="27"/>
      <c r="AP651" s="27"/>
      <c r="AY651" s="27"/>
      <c r="AZ651" s="27"/>
      <c r="BA651" s="27"/>
      <c r="BB651" s="27"/>
      <c r="BC651" s="28"/>
      <c r="BD651" s="29"/>
      <c r="BE651" s="29"/>
      <c r="BF651" s="27"/>
      <c r="BG651" s="27"/>
      <c r="BH651" s="27"/>
      <c r="BI651" s="27"/>
      <c r="BJ651" s="27"/>
      <c r="BK651" s="27"/>
      <c r="BL651" s="27"/>
      <c r="BM651" s="27"/>
    </row>
    <row r="652">
      <c r="I652" s="27"/>
      <c r="J652" s="27"/>
      <c r="K652" s="27"/>
      <c r="L652" s="27"/>
      <c r="M652" s="28"/>
      <c r="N652" s="29"/>
      <c r="O652" s="29"/>
      <c r="P652" s="29"/>
      <c r="Q652" s="27"/>
      <c r="R652" s="27"/>
      <c r="S652" s="27"/>
      <c r="T652" s="27"/>
      <c r="U652" s="27"/>
      <c r="V652" s="27"/>
      <c r="AE652" s="27"/>
      <c r="AF652" s="27"/>
      <c r="AG652" s="27"/>
      <c r="AH652" s="27"/>
      <c r="AI652" s="28"/>
      <c r="AJ652" s="29"/>
      <c r="AK652" s="29"/>
      <c r="AL652" s="27"/>
      <c r="AM652" s="27"/>
      <c r="AN652" s="27"/>
      <c r="AO652" s="27"/>
      <c r="AP652" s="27"/>
      <c r="AY652" s="27"/>
      <c r="AZ652" s="27"/>
      <c r="BA652" s="27"/>
      <c r="BB652" s="27"/>
      <c r="BC652" s="28"/>
      <c r="BD652" s="29"/>
      <c r="BE652" s="29"/>
      <c r="BF652" s="27"/>
      <c r="BG652" s="27"/>
      <c r="BH652" s="27"/>
      <c r="BI652" s="27"/>
      <c r="BJ652" s="27"/>
      <c r="BK652" s="27"/>
      <c r="BL652" s="27"/>
      <c r="BM652" s="27"/>
    </row>
    <row r="653">
      <c r="I653" s="27"/>
      <c r="J653" s="27"/>
      <c r="K653" s="27"/>
      <c r="L653" s="27"/>
      <c r="M653" s="28"/>
      <c r="N653" s="29"/>
      <c r="O653" s="29"/>
      <c r="P653" s="29"/>
      <c r="Q653" s="27"/>
      <c r="R653" s="27"/>
      <c r="S653" s="27"/>
      <c r="T653" s="27"/>
      <c r="U653" s="27"/>
      <c r="V653" s="27"/>
      <c r="AE653" s="27"/>
      <c r="AF653" s="27"/>
      <c r="AG653" s="27"/>
      <c r="AH653" s="27"/>
      <c r="AI653" s="28"/>
      <c r="AJ653" s="29"/>
      <c r="AK653" s="29"/>
      <c r="AL653" s="27"/>
      <c r="AM653" s="27"/>
      <c r="AN653" s="27"/>
      <c r="AO653" s="27"/>
      <c r="AP653" s="27"/>
      <c r="AY653" s="27"/>
      <c r="AZ653" s="27"/>
      <c r="BA653" s="27"/>
      <c r="BB653" s="27"/>
      <c r="BC653" s="28"/>
      <c r="BD653" s="29"/>
      <c r="BE653" s="29"/>
      <c r="BF653" s="27"/>
      <c r="BG653" s="27"/>
      <c r="BH653" s="27"/>
      <c r="BI653" s="27"/>
      <c r="BJ653" s="27"/>
      <c r="BK653" s="27"/>
      <c r="BL653" s="27"/>
      <c r="BM653" s="27"/>
    </row>
    <row r="654">
      <c r="I654" s="27"/>
      <c r="J654" s="27"/>
      <c r="K654" s="27"/>
      <c r="L654" s="27"/>
      <c r="M654" s="28"/>
      <c r="N654" s="29"/>
      <c r="O654" s="29"/>
      <c r="P654" s="29"/>
      <c r="Q654" s="27"/>
      <c r="R654" s="27"/>
      <c r="S654" s="27"/>
      <c r="T654" s="27"/>
      <c r="U654" s="27"/>
      <c r="V654" s="27"/>
      <c r="AE654" s="27"/>
      <c r="AF654" s="27"/>
      <c r="AG654" s="27"/>
      <c r="AH654" s="27"/>
      <c r="AI654" s="28"/>
      <c r="AJ654" s="29"/>
      <c r="AK654" s="29"/>
      <c r="AL654" s="27"/>
      <c r="AM654" s="27"/>
      <c r="AN654" s="27"/>
      <c r="AO654" s="27"/>
      <c r="AP654" s="27"/>
      <c r="AY654" s="27"/>
      <c r="AZ654" s="27"/>
      <c r="BA654" s="27"/>
      <c r="BB654" s="27"/>
      <c r="BC654" s="28"/>
      <c r="BD654" s="29"/>
      <c r="BE654" s="29"/>
      <c r="BF654" s="27"/>
      <c r="BG654" s="27"/>
      <c r="BH654" s="27"/>
      <c r="BI654" s="27"/>
      <c r="BJ654" s="27"/>
      <c r="BK654" s="27"/>
      <c r="BL654" s="27"/>
      <c r="BM654" s="27"/>
    </row>
    <row r="655">
      <c r="I655" s="27"/>
      <c r="J655" s="27"/>
      <c r="K655" s="27"/>
      <c r="L655" s="27"/>
      <c r="M655" s="28"/>
      <c r="N655" s="29"/>
      <c r="O655" s="29"/>
      <c r="P655" s="29"/>
      <c r="Q655" s="27"/>
      <c r="R655" s="27"/>
      <c r="S655" s="27"/>
      <c r="T655" s="27"/>
      <c r="U655" s="27"/>
      <c r="V655" s="27"/>
      <c r="AE655" s="27"/>
      <c r="AF655" s="27"/>
      <c r="AG655" s="27"/>
      <c r="AH655" s="27"/>
      <c r="AI655" s="28"/>
      <c r="AJ655" s="29"/>
      <c r="AK655" s="29"/>
      <c r="AL655" s="27"/>
      <c r="AM655" s="27"/>
      <c r="AN655" s="27"/>
      <c r="AO655" s="27"/>
      <c r="AP655" s="27"/>
      <c r="AY655" s="27"/>
      <c r="AZ655" s="27"/>
      <c r="BA655" s="27"/>
      <c r="BB655" s="27"/>
      <c r="BC655" s="28"/>
      <c r="BD655" s="29"/>
      <c r="BE655" s="29"/>
      <c r="BF655" s="27"/>
      <c r="BG655" s="27"/>
      <c r="BH655" s="27"/>
      <c r="BI655" s="27"/>
      <c r="BJ655" s="27"/>
      <c r="BK655" s="27"/>
      <c r="BL655" s="27"/>
      <c r="BM655" s="27"/>
    </row>
    <row r="656">
      <c r="I656" s="27"/>
      <c r="J656" s="27"/>
      <c r="K656" s="27"/>
      <c r="L656" s="27"/>
      <c r="M656" s="28"/>
      <c r="N656" s="29"/>
      <c r="O656" s="29"/>
      <c r="P656" s="29"/>
      <c r="Q656" s="27"/>
      <c r="R656" s="27"/>
      <c r="S656" s="27"/>
      <c r="T656" s="27"/>
      <c r="U656" s="27"/>
      <c r="V656" s="27"/>
      <c r="AE656" s="27"/>
      <c r="AF656" s="27"/>
      <c r="AG656" s="27"/>
      <c r="AH656" s="27"/>
      <c r="AI656" s="28"/>
      <c r="AJ656" s="29"/>
      <c r="AK656" s="29"/>
      <c r="AL656" s="27"/>
      <c r="AM656" s="27"/>
      <c r="AN656" s="27"/>
      <c r="AO656" s="27"/>
      <c r="AP656" s="27"/>
      <c r="AY656" s="27"/>
      <c r="AZ656" s="27"/>
      <c r="BA656" s="27"/>
      <c r="BB656" s="27"/>
      <c r="BC656" s="28"/>
      <c r="BD656" s="29"/>
      <c r="BE656" s="29"/>
      <c r="BF656" s="27"/>
      <c r="BG656" s="27"/>
      <c r="BH656" s="27"/>
      <c r="BI656" s="27"/>
      <c r="BJ656" s="27"/>
      <c r="BK656" s="27"/>
      <c r="BL656" s="27"/>
      <c r="BM656" s="27"/>
    </row>
    <row r="657">
      <c r="I657" s="27"/>
      <c r="J657" s="27"/>
      <c r="K657" s="27"/>
      <c r="L657" s="27"/>
      <c r="M657" s="28"/>
      <c r="N657" s="29"/>
      <c r="O657" s="29"/>
      <c r="P657" s="29"/>
      <c r="Q657" s="27"/>
      <c r="R657" s="27"/>
      <c r="S657" s="27"/>
      <c r="T657" s="27"/>
      <c r="U657" s="27"/>
      <c r="V657" s="27"/>
      <c r="AE657" s="27"/>
      <c r="AF657" s="27"/>
      <c r="AG657" s="27"/>
      <c r="AH657" s="27"/>
      <c r="AI657" s="28"/>
      <c r="AJ657" s="29"/>
      <c r="AK657" s="29"/>
      <c r="AL657" s="27"/>
      <c r="AM657" s="27"/>
      <c r="AN657" s="27"/>
      <c r="AO657" s="27"/>
      <c r="AP657" s="27"/>
      <c r="AY657" s="27"/>
      <c r="AZ657" s="27"/>
      <c r="BA657" s="27"/>
      <c r="BB657" s="27"/>
      <c r="BC657" s="28"/>
      <c r="BD657" s="29"/>
      <c r="BE657" s="29"/>
      <c r="BF657" s="27"/>
      <c r="BG657" s="27"/>
      <c r="BH657" s="27"/>
      <c r="BI657" s="27"/>
      <c r="BJ657" s="27"/>
      <c r="BK657" s="27"/>
      <c r="BL657" s="27"/>
      <c r="BM657" s="27"/>
    </row>
    <row r="658">
      <c r="I658" s="27"/>
      <c r="J658" s="27"/>
      <c r="K658" s="27"/>
      <c r="L658" s="27"/>
      <c r="M658" s="28"/>
      <c r="N658" s="29"/>
      <c r="O658" s="29"/>
      <c r="P658" s="29"/>
      <c r="Q658" s="27"/>
      <c r="R658" s="27"/>
      <c r="S658" s="27"/>
      <c r="T658" s="27"/>
      <c r="U658" s="27"/>
      <c r="V658" s="27"/>
      <c r="AE658" s="27"/>
      <c r="AF658" s="27"/>
      <c r="AG658" s="27"/>
      <c r="AH658" s="27"/>
      <c r="AI658" s="28"/>
      <c r="AJ658" s="29"/>
      <c r="AK658" s="29"/>
      <c r="AL658" s="27"/>
      <c r="AM658" s="27"/>
      <c r="AN658" s="27"/>
      <c r="AO658" s="27"/>
      <c r="AP658" s="27"/>
      <c r="AY658" s="27"/>
      <c r="AZ658" s="27"/>
      <c r="BA658" s="27"/>
      <c r="BB658" s="27"/>
      <c r="BC658" s="28"/>
      <c r="BD658" s="29"/>
      <c r="BE658" s="29"/>
      <c r="BF658" s="27"/>
      <c r="BG658" s="27"/>
      <c r="BH658" s="27"/>
      <c r="BI658" s="27"/>
      <c r="BJ658" s="27"/>
      <c r="BK658" s="27"/>
      <c r="BL658" s="27"/>
      <c r="BM658" s="27"/>
    </row>
    <row r="659">
      <c r="I659" s="27"/>
      <c r="J659" s="27"/>
      <c r="K659" s="27"/>
      <c r="L659" s="27"/>
      <c r="M659" s="28"/>
      <c r="N659" s="29"/>
      <c r="O659" s="29"/>
      <c r="P659" s="29"/>
      <c r="Q659" s="27"/>
      <c r="R659" s="27"/>
      <c r="S659" s="27"/>
      <c r="T659" s="27"/>
      <c r="U659" s="27"/>
      <c r="V659" s="27"/>
      <c r="AE659" s="27"/>
      <c r="AF659" s="27"/>
      <c r="AG659" s="27"/>
      <c r="AH659" s="27"/>
      <c r="AI659" s="28"/>
      <c r="AJ659" s="29"/>
      <c r="AK659" s="29"/>
      <c r="AL659" s="27"/>
      <c r="AM659" s="27"/>
      <c r="AN659" s="27"/>
      <c r="AO659" s="27"/>
      <c r="AP659" s="27"/>
      <c r="AY659" s="27"/>
      <c r="AZ659" s="27"/>
      <c r="BA659" s="27"/>
      <c r="BB659" s="27"/>
      <c r="BC659" s="28"/>
      <c r="BD659" s="29"/>
      <c r="BE659" s="29"/>
      <c r="BF659" s="27"/>
      <c r="BG659" s="27"/>
      <c r="BH659" s="27"/>
      <c r="BI659" s="27"/>
      <c r="BJ659" s="27"/>
      <c r="BK659" s="27"/>
      <c r="BL659" s="27"/>
      <c r="BM659" s="27"/>
    </row>
    <row r="660">
      <c r="I660" s="27"/>
      <c r="J660" s="27"/>
      <c r="K660" s="27"/>
      <c r="L660" s="27"/>
      <c r="M660" s="28"/>
      <c r="N660" s="29"/>
      <c r="O660" s="29"/>
      <c r="P660" s="29"/>
      <c r="Q660" s="27"/>
      <c r="R660" s="27"/>
      <c r="S660" s="27"/>
      <c r="T660" s="27"/>
      <c r="U660" s="27"/>
      <c r="V660" s="27"/>
      <c r="AE660" s="27"/>
      <c r="AF660" s="27"/>
      <c r="AG660" s="27"/>
      <c r="AH660" s="27"/>
      <c r="AI660" s="28"/>
      <c r="AJ660" s="29"/>
      <c r="AK660" s="29"/>
      <c r="AL660" s="27"/>
      <c r="AM660" s="27"/>
      <c r="AN660" s="27"/>
      <c r="AO660" s="27"/>
      <c r="AP660" s="27"/>
      <c r="AY660" s="27"/>
      <c r="AZ660" s="27"/>
      <c r="BA660" s="27"/>
      <c r="BB660" s="27"/>
      <c r="BC660" s="28"/>
      <c r="BD660" s="29"/>
      <c r="BE660" s="29"/>
      <c r="BF660" s="27"/>
      <c r="BG660" s="27"/>
      <c r="BH660" s="27"/>
      <c r="BI660" s="27"/>
      <c r="BJ660" s="27"/>
      <c r="BK660" s="27"/>
      <c r="BL660" s="27"/>
      <c r="BM660" s="27"/>
    </row>
    <row r="661">
      <c r="I661" s="27"/>
      <c r="J661" s="27"/>
      <c r="K661" s="27"/>
      <c r="L661" s="27"/>
      <c r="M661" s="28"/>
      <c r="N661" s="29"/>
      <c r="O661" s="29"/>
      <c r="P661" s="29"/>
      <c r="Q661" s="27"/>
      <c r="R661" s="27"/>
      <c r="S661" s="27"/>
      <c r="T661" s="27"/>
      <c r="U661" s="27"/>
      <c r="V661" s="27"/>
      <c r="AE661" s="27"/>
      <c r="AF661" s="27"/>
      <c r="AG661" s="27"/>
      <c r="AH661" s="27"/>
      <c r="AI661" s="28"/>
      <c r="AJ661" s="29"/>
      <c r="AK661" s="29"/>
      <c r="AL661" s="27"/>
      <c r="AM661" s="27"/>
      <c r="AN661" s="27"/>
      <c r="AO661" s="27"/>
      <c r="AP661" s="27"/>
      <c r="AY661" s="27"/>
      <c r="AZ661" s="27"/>
      <c r="BA661" s="27"/>
      <c r="BB661" s="27"/>
      <c r="BC661" s="28"/>
      <c r="BD661" s="29"/>
      <c r="BE661" s="29"/>
      <c r="BF661" s="27"/>
      <c r="BG661" s="27"/>
      <c r="BH661" s="27"/>
      <c r="BI661" s="27"/>
      <c r="BJ661" s="27"/>
      <c r="BK661" s="27"/>
      <c r="BL661" s="27"/>
      <c r="BM661" s="27"/>
    </row>
    <row r="662">
      <c r="I662" s="27"/>
      <c r="J662" s="27"/>
      <c r="K662" s="27"/>
      <c r="L662" s="27"/>
      <c r="M662" s="28"/>
      <c r="N662" s="29"/>
      <c r="O662" s="29"/>
      <c r="P662" s="29"/>
      <c r="Q662" s="27"/>
      <c r="R662" s="27"/>
      <c r="S662" s="27"/>
      <c r="T662" s="27"/>
      <c r="U662" s="27"/>
      <c r="V662" s="27"/>
      <c r="AE662" s="27"/>
      <c r="AF662" s="27"/>
      <c r="AG662" s="27"/>
      <c r="AH662" s="27"/>
      <c r="AI662" s="28"/>
      <c r="AJ662" s="29"/>
      <c r="AK662" s="29"/>
      <c r="AL662" s="27"/>
      <c r="AM662" s="27"/>
      <c r="AN662" s="27"/>
      <c r="AO662" s="27"/>
      <c r="AP662" s="27"/>
      <c r="AY662" s="27"/>
      <c r="AZ662" s="27"/>
      <c r="BA662" s="27"/>
      <c r="BB662" s="27"/>
      <c r="BC662" s="28"/>
      <c r="BD662" s="29"/>
      <c r="BE662" s="29"/>
      <c r="BF662" s="27"/>
      <c r="BG662" s="27"/>
      <c r="BH662" s="27"/>
      <c r="BI662" s="27"/>
      <c r="BJ662" s="27"/>
      <c r="BK662" s="27"/>
      <c r="BL662" s="27"/>
      <c r="BM662" s="27"/>
    </row>
    <row r="663">
      <c r="I663" s="27"/>
      <c r="J663" s="27"/>
      <c r="K663" s="27"/>
      <c r="L663" s="27"/>
      <c r="M663" s="28"/>
      <c r="N663" s="29"/>
      <c r="O663" s="29"/>
      <c r="P663" s="29"/>
      <c r="Q663" s="27"/>
      <c r="R663" s="27"/>
      <c r="S663" s="27"/>
      <c r="T663" s="27"/>
      <c r="U663" s="27"/>
      <c r="V663" s="27"/>
      <c r="AE663" s="27"/>
      <c r="AF663" s="27"/>
      <c r="AG663" s="27"/>
      <c r="AH663" s="27"/>
      <c r="AI663" s="28"/>
      <c r="AJ663" s="29"/>
      <c r="AK663" s="29"/>
      <c r="AL663" s="27"/>
      <c r="AM663" s="27"/>
      <c r="AN663" s="27"/>
      <c r="AO663" s="27"/>
      <c r="AP663" s="27"/>
      <c r="AY663" s="27"/>
      <c r="AZ663" s="27"/>
      <c r="BA663" s="27"/>
      <c r="BB663" s="27"/>
      <c r="BC663" s="28"/>
      <c r="BD663" s="29"/>
      <c r="BE663" s="29"/>
      <c r="BF663" s="27"/>
      <c r="BG663" s="27"/>
      <c r="BH663" s="27"/>
      <c r="BI663" s="27"/>
      <c r="BJ663" s="27"/>
      <c r="BK663" s="27"/>
      <c r="BL663" s="27"/>
      <c r="BM663" s="27"/>
    </row>
    <row r="664">
      <c r="I664" s="27"/>
      <c r="J664" s="27"/>
      <c r="K664" s="27"/>
      <c r="L664" s="27"/>
      <c r="M664" s="28"/>
      <c r="N664" s="29"/>
      <c r="O664" s="29"/>
      <c r="P664" s="29"/>
      <c r="Q664" s="27"/>
      <c r="R664" s="27"/>
      <c r="S664" s="27"/>
      <c r="T664" s="27"/>
      <c r="U664" s="27"/>
      <c r="V664" s="27"/>
      <c r="AE664" s="27"/>
      <c r="AF664" s="27"/>
      <c r="AG664" s="27"/>
      <c r="AH664" s="27"/>
      <c r="AI664" s="28"/>
      <c r="AJ664" s="29"/>
      <c r="AK664" s="29"/>
      <c r="AL664" s="27"/>
      <c r="AM664" s="27"/>
      <c r="AN664" s="27"/>
      <c r="AO664" s="27"/>
      <c r="AP664" s="27"/>
      <c r="AY664" s="27"/>
      <c r="AZ664" s="27"/>
      <c r="BA664" s="27"/>
      <c r="BB664" s="27"/>
      <c r="BC664" s="28"/>
      <c r="BD664" s="29"/>
      <c r="BE664" s="29"/>
      <c r="BF664" s="27"/>
      <c r="BG664" s="27"/>
      <c r="BH664" s="27"/>
      <c r="BI664" s="27"/>
      <c r="BJ664" s="27"/>
      <c r="BK664" s="27"/>
      <c r="BL664" s="27"/>
      <c r="BM664" s="27"/>
    </row>
    <row r="665">
      <c r="I665" s="27"/>
      <c r="J665" s="27"/>
      <c r="K665" s="27"/>
      <c r="L665" s="27"/>
      <c r="M665" s="28"/>
      <c r="N665" s="29"/>
      <c r="O665" s="29"/>
      <c r="P665" s="29"/>
      <c r="Q665" s="27"/>
      <c r="R665" s="27"/>
      <c r="S665" s="27"/>
      <c r="T665" s="27"/>
      <c r="U665" s="27"/>
      <c r="V665" s="27"/>
      <c r="AE665" s="27"/>
      <c r="AF665" s="27"/>
      <c r="AG665" s="27"/>
      <c r="AH665" s="27"/>
      <c r="AI665" s="28"/>
      <c r="AJ665" s="29"/>
      <c r="AK665" s="29"/>
      <c r="AL665" s="27"/>
      <c r="AM665" s="27"/>
      <c r="AN665" s="27"/>
      <c r="AO665" s="27"/>
      <c r="AP665" s="27"/>
      <c r="AY665" s="27"/>
      <c r="AZ665" s="27"/>
      <c r="BA665" s="27"/>
      <c r="BB665" s="27"/>
      <c r="BC665" s="28"/>
      <c r="BD665" s="29"/>
      <c r="BE665" s="29"/>
      <c r="BF665" s="27"/>
      <c r="BG665" s="27"/>
      <c r="BH665" s="27"/>
      <c r="BI665" s="27"/>
      <c r="BJ665" s="27"/>
      <c r="BK665" s="27"/>
      <c r="BL665" s="27"/>
      <c r="BM665" s="27"/>
    </row>
    <row r="666">
      <c r="I666" s="27"/>
      <c r="J666" s="27"/>
      <c r="K666" s="27"/>
      <c r="L666" s="27"/>
      <c r="M666" s="28"/>
      <c r="N666" s="29"/>
      <c r="O666" s="29"/>
      <c r="P666" s="29"/>
      <c r="Q666" s="27"/>
      <c r="R666" s="27"/>
      <c r="S666" s="27"/>
      <c r="T666" s="27"/>
      <c r="U666" s="27"/>
      <c r="V666" s="27"/>
      <c r="AE666" s="27"/>
      <c r="AF666" s="27"/>
      <c r="AG666" s="27"/>
      <c r="AH666" s="27"/>
      <c r="AI666" s="28"/>
      <c r="AJ666" s="29"/>
      <c r="AK666" s="29"/>
      <c r="AL666" s="27"/>
      <c r="AM666" s="27"/>
      <c r="AN666" s="27"/>
      <c r="AO666" s="27"/>
      <c r="AP666" s="27"/>
      <c r="AY666" s="27"/>
      <c r="AZ666" s="27"/>
      <c r="BA666" s="27"/>
      <c r="BB666" s="27"/>
      <c r="BC666" s="28"/>
      <c r="BD666" s="29"/>
      <c r="BE666" s="29"/>
      <c r="BF666" s="27"/>
      <c r="BG666" s="27"/>
      <c r="BH666" s="27"/>
      <c r="BI666" s="27"/>
      <c r="BJ666" s="27"/>
      <c r="BK666" s="27"/>
      <c r="BL666" s="27"/>
      <c r="BM666" s="27"/>
    </row>
    <row r="667">
      <c r="I667" s="27"/>
      <c r="J667" s="27"/>
      <c r="K667" s="27"/>
      <c r="L667" s="27"/>
      <c r="M667" s="28"/>
      <c r="N667" s="29"/>
      <c r="O667" s="29"/>
      <c r="P667" s="29"/>
      <c r="Q667" s="27"/>
      <c r="R667" s="27"/>
      <c r="S667" s="27"/>
      <c r="T667" s="27"/>
      <c r="U667" s="27"/>
      <c r="V667" s="27"/>
      <c r="AE667" s="27"/>
      <c r="AF667" s="27"/>
      <c r="AG667" s="27"/>
      <c r="AH667" s="27"/>
      <c r="AI667" s="28"/>
      <c r="AJ667" s="29"/>
      <c r="AK667" s="29"/>
      <c r="AL667" s="27"/>
      <c r="AM667" s="27"/>
      <c r="AN667" s="27"/>
      <c r="AO667" s="27"/>
      <c r="AP667" s="27"/>
      <c r="AY667" s="27"/>
      <c r="AZ667" s="27"/>
      <c r="BA667" s="27"/>
      <c r="BB667" s="27"/>
      <c r="BC667" s="28"/>
      <c r="BD667" s="29"/>
      <c r="BE667" s="29"/>
      <c r="BF667" s="27"/>
      <c r="BG667" s="27"/>
      <c r="BH667" s="27"/>
      <c r="BI667" s="27"/>
      <c r="BJ667" s="27"/>
      <c r="BK667" s="27"/>
      <c r="BL667" s="27"/>
      <c r="BM667" s="27"/>
    </row>
    <row r="668">
      <c r="I668" s="27"/>
      <c r="J668" s="27"/>
      <c r="K668" s="27"/>
      <c r="L668" s="27"/>
      <c r="M668" s="28"/>
      <c r="N668" s="29"/>
      <c r="O668" s="29"/>
      <c r="P668" s="29"/>
      <c r="Q668" s="27"/>
      <c r="R668" s="27"/>
      <c r="S668" s="27"/>
      <c r="T668" s="27"/>
      <c r="U668" s="27"/>
      <c r="V668" s="27"/>
      <c r="AE668" s="27"/>
      <c r="AF668" s="27"/>
      <c r="AG668" s="27"/>
      <c r="AH668" s="27"/>
      <c r="AI668" s="28"/>
      <c r="AJ668" s="29"/>
      <c r="AK668" s="29"/>
      <c r="AL668" s="27"/>
      <c r="AM668" s="27"/>
      <c r="AN668" s="27"/>
      <c r="AO668" s="27"/>
      <c r="AP668" s="27"/>
      <c r="AY668" s="27"/>
      <c r="AZ668" s="27"/>
      <c r="BA668" s="27"/>
      <c r="BB668" s="27"/>
      <c r="BC668" s="28"/>
      <c r="BD668" s="29"/>
      <c r="BE668" s="29"/>
      <c r="BF668" s="27"/>
      <c r="BG668" s="27"/>
      <c r="BH668" s="27"/>
      <c r="BI668" s="27"/>
      <c r="BJ668" s="27"/>
      <c r="BK668" s="27"/>
      <c r="BL668" s="27"/>
      <c r="BM668" s="27"/>
    </row>
    <row r="669">
      <c r="I669" s="27"/>
      <c r="J669" s="27"/>
      <c r="K669" s="27"/>
      <c r="L669" s="27"/>
      <c r="M669" s="28"/>
      <c r="N669" s="29"/>
      <c r="O669" s="29"/>
      <c r="P669" s="29"/>
      <c r="Q669" s="27"/>
      <c r="R669" s="27"/>
      <c r="S669" s="27"/>
      <c r="T669" s="27"/>
      <c r="U669" s="27"/>
      <c r="V669" s="27"/>
      <c r="AE669" s="27"/>
      <c r="AF669" s="27"/>
      <c r="AG669" s="27"/>
      <c r="AH669" s="27"/>
      <c r="AI669" s="28"/>
      <c r="AJ669" s="29"/>
      <c r="AK669" s="29"/>
      <c r="AL669" s="27"/>
      <c r="AM669" s="27"/>
      <c r="AN669" s="27"/>
      <c r="AO669" s="27"/>
      <c r="AP669" s="27"/>
      <c r="AY669" s="27"/>
      <c r="AZ669" s="27"/>
      <c r="BA669" s="27"/>
      <c r="BB669" s="27"/>
      <c r="BC669" s="28"/>
      <c r="BD669" s="29"/>
      <c r="BE669" s="29"/>
      <c r="BF669" s="27"/>
      <c r="BG669" s="27"/>
      <c r="BH669" s="27"/>
      <c r="BI669" s="27"/>
      <c r="BJ669" s="27"/>
      <c r="BK669" s="27"/>
      <c r="BL669" s="27"/>
      <c r="BM669" s="27"/>
    </row>
    <row r="670">
      <c r="I670" s="27"/>
      <c r="J670" s="27"/>
      <c r="K670" s="27"/>
      <c r="L670" s="27"/>
      <c r="M670" s="28"/>
      <c r="N670" s="29"/>
      <c r="O670" s="29"/>
      <c r="P670" s="29"/>
      <c r="Q670" s="27"/>
      <c r="R670" s="27"/>
      <c r="S670" s="27"/>
      <c r="T670" s="27"/>
      <c r="U670" s="27"/>
      <c r="V670" s="27"/>
      <c r="AE670" s="27"/>
      <c r="AF670" s="27"/>
      <c r="AG670" s="27"/>
      <c r="AH670" s="27"/>
      <c r="AI670" s="28"/>
      <c r="AJ670" s="29"/>
      <c r="AK670" s="29"/>
      <c r="AL670" s="27"/>
      <c r="AM670" s="27"/>
      <c r="AN670" s="27"/>
      <c r="AO670" s="27"/>
      <c r="AP670" s="27"/>
      <c r="AY670" s="27"/>
      <c r="AZ670" s="27"/>
      <c r="BA670" s="27"/>
      <c r="BB670" s="27"/>
      <c r="BC670" s="28"/>
      <c r="BD670" s="29"/>
      <c r="BE670" s="29"/>
      <c r="BF670" s="27"/>
      <c r="BG670" s="27"/>
      <c r="BH670" s="27"/>
      <c r="BI670" s="27"/>
      <c r="BJ670" s="27"/>
      <c r="BK670" s="27"/>
      <c r="BL670" s="27"/>
      <c r="BM670" s="27"/>
    </row>
    <row r="671">
      <c r="I671" s="27"/>
      <c r="J671" s="27"/>
      <c r="K671" s="27"/>
      <c r="L671" s="27"/>
      <c r="M671" s="28"/>
      <c r="N671" s="29"/>
      <c r="O671" s="29"/>
      <c r="P671" s="29"/>
      <c r="Q671" s="27"/>
      <c r="R671" s="27"/>
      <c r="S671" s="27"/>
      <c r="T671" s="27"/>
      <c r="U671" s="27"/>
      <c r="V671" s="27"/>
      <c r="AE671" s="27"/>
      <c r="AF671" s="27"/>
      <c r="AG671" s="27"/>
      <c r="AH671" s="27"/>
      <c r="AI671" s="28"/>
      <c r="AJ671" s="29"/>
      <c r="AK671" s="29"/>
      <c r="AL671" s="27"/>
      <c r="AM671" s="27"/>
      <c r="AN671" s="27"/>
      <c r="AO671" s="27"/>
      <c r="AP671" s="27"/>
      <c r="AY671" s="27"/>
      <c r="AZ671" s="27"/>
      <c r="BA671" s="27"/>
      <c r="BB671" s="27"/>
      <c r="BC671" s="28"/>
      <c r="BD671" s="29"/>
      <c r="BE671" s="29"/>
      <c r="BF671" s="27"/>
      <c r="BG671" s="27"/>
      <c r="BH671" s="27"/>
      <c r="BI671" s="27"/>
      <c r="BJ671" s="27"/>
      <c r="BK671" s="27"/>
      <c r="BL671" s="27"/>
      <c r="BM671" s="27"/>
    </row>
    <row r="672">
      <c r="I672" s="27"/>
      <c r="J672" s="27"/>
      <c r="K672" s="27"/>
      <c r="L672" s="27"/>
      <c r="M672" s="28"/>
      <c r="N672" s="29"/>
      <c r="O672" s="29"/>
      <c r="P672" s="29"/>
      <c r="Q672" s="27"/>
      <c r="R672" s="27"/>
      <c r="S672" s="27"/>
      <c r="T672" s="27"/>
      <c r="U672" s="27"/>
      <c r="V672" s="27"/>
      <c r="AE672" s="27"/>
      <c r="AF672" s="27"/>
      <c r="AG672" s="27"/>
      <c r="AH672" s="27"/>
      <c r="AI672" s="28"/>
      <c r="AJ672" s="29"/>
      <c r="AK672" s="29"/>
      <c r="AL672" s="27"/>
      <c r="AM672" s="27"/>
      <c r="AN672" s="27"/>
      <c r="AO672" s="27"/>
      <c r="AP672" s="27"/>
      <c r="AY672" s="27"/>
      <c r="AZ672" s="27"/>
      <c r="BA672" s="27"/>
      <c r="BB672" s="27"/>
      <c r="BC672" s="28"/>
      <c r="BD672" s="29"/>
      <c r="BE672" s="29"/>
      <c r="BF672" s="27"/>
      <c r="BG672" s="27"/>
      <c r="BH672" s="27"/>
      <c r="BI672" s="27"/>
      <c r="BJ672" s="27"/>
      <c r="BK672" s="27"/>
      <c r="BL672" s="27"/>
      <c r="BM672" s="27"/>
    </row>
    <row r="673">
      <c r="I673" s="27"/>
      <c r="J673" s="27"/>
      <c r="K673" s="27"/>
      <c r="L673" s="27"/>
      <c r="M673" s="28"/>
      <c r="N673" s="29"/>
      <c r="O673" s="29"/>
      <c r="P673" s="29"/>
      <c r="Q673" s="27"/>
      <c r="R673" s="27"/>
      <c r="S673" s="27"/>
      <c r="T673" s="27"/>
      <c r="U673" s="27"/>
      <c r="V673" s="27"/>
      <c r="AE673" s="27"/>
      <c r="AF673" s="27"/>
      <c r="AG673" s="27"/>
      <c r="AH673" s="27"/>
      <c r="AI673" s="28"/>
      <c r="AJ673" s="29"/>
      <c r="AK673" s="29"/>
      <c r="AL673" s="27"/>
      <c r="AM673" s="27"/>
      <c r="AN673" s="27"/>
      <c r="AO673" s="27"/>
      <c r="AP673" s="27"/>
      <c r="AY673" s="27"/>
      <c r="AZ673" s="27"/>
      <c r="BA673" s="27"/>
      <c r="BB673" s="27"/>
      <c r="BC673" s="28"/>
      <c r="BD673" s="29"/>
      <c r="BE673" s="29"/>
      <c r="BF673" s="27"/>
      <c r="BG673" s="27"/>
      <c r="BH673" s="27"/>
      <c r="BI673" s="27"/>
      <c r="BJ673" s="27"/>
      <c r="BK673" s="27"/>
      <c r="BL673" s="27"/>
      <c r="BM673" s="27"/>
    </row>
    <row r="674">
      <c r="I674" s="27"/>
      <c r="J674" s="27"/>
      <c r="K674" s="27"/>
      <c r="L674" s="27"/>
      <c r="M674" s="28"/>
      <c r="N674" s="29"/>
      <c r="O674" s="29"/>
      <c r="P674" s="29"/>
      <c r="Q674" s="27"/>
      <c r="R674" s="27"/>
      <c r="S674" s="27"/>
      <c r="T674" s="27"/>
      <c r="U674" s="27"/>
      <c r="V674" s="27"/>
      <c r="AE674" s="27"/>
      <c r="AF674" s="27"/>
      <c r="AG674" s="27"/>
      <c r="AH674" s="27"/>
      <c r="AI674" s="28"/>
      <c r="AJ674" s="29"/>
      <c r="AK674" s="29"/>
      <c r="AL674" s="27"/>
      <c r="AM674" s="27"/>
      <c r="AN674" s="27"/>
      <c r="AO674" s="27"/>
      <c r="AP674" s="27"/>
      <c r="AY674" s="27"/>
      <c r="AZ674" s="27"/>
      <c r="BA674" s="27"/>
      <c r="BB674" s="27"/>
      <c r="BC674" s="28"/>
      <c r="BD674" s="29"/>
      <c r="BE674" s="29"/>
      <c r="BF674" s="27"/>
      <c r="BG674" s="27"/>
      <c r="BH674" s="27"/>
      <c r="BI674" s="27"/>
      <c r="BJ674" s="27"/>
      <c r="BK674" s="27"/>
      <c r="BL674" s="27"/>
      <c r="BM674" s="27"/>
    </row>
    <row r="675">
      <c r="I675" s="27"/>
      <c r="J675" s="27"/>
      <c r="K675" s="27"/>
      <c r="L675" s="27"/>
      <c r="M675" s="28"/>
      <c r="N675" s="29"/>
      <c r="O675" s="29"/>
      <c r="P675" s="29"/>
      <c r="Q675" s="27"/>
      <c r="R675" s="27"/>
      <c r="S675" s="27"/>
      <c r="T675" s="27"/>
      <c r="U675" s="27"/>
      <c r="V675" s="27"/>
      <c r="AE675" s="27"/>
      <c r="AF675" s="27"/>
      <c r="AG675" s="27"/>
      <c r="AH675" s="27"/>
      <c r="AI675" s="28"/>
      <c r="AJ675" s="29"/>
      <c r="AK675" s="29"/>
      <c r="AL675" s="27"/>
      <c r="AM675" s="27"/>
      <c r="AN675" s="27"/>
      <c r="AO675" s="27"/>
      <c r="AP675" s="27"/>
      <c r="AY675" s="27"/>
      <c r="AZ675" s="27"/>
      <c r="BA675" s="27"/>
      <c r="BB675" s="27"/>
      <c r="BC675" s="28"/>
      <c r="BD675" s="29"/>
      <c r="BE675" s="29"/>
      <c r="BF675" s="27"/>
      <c r="BG675" s="27"/>
      <c r="BH675" s="27"/>
      <c r="BI675" s="27"/>
      <c r="BJ675" s="27"/>
      <c r="BK675" s="27"/>
      <c r="BL675" s="27"/>
      <c r="BM675" s="27"/>
    </row>
    <row r="676">
      <c r="I676" s="27"/>
      <c r="J676" s="27"/>
      <c r="K676" s="27"/>
      <c r="L676" s="27"/>
      <c r="M676" s="28"/>
      <c r="N676" s="29"/>
      <c r="O676" s="29"/>
      <c r="P676" s="29"/>
      <c r="Q676" s="27"/>
      <c r="R676" s="27"/>
      <c r="S676" s="27"/>
      <c r="T676" s="27"/>
      <c r="U676" s="27"/>
      <c r="V676" s="27"/>
      <c r="AE676" s="27"/>
      <c r="AF676" s="27"/>
      <c r="AG676" s="27"/>
      <c r="AH676" s="27"/>
      <c r="AI676" s="28"/>
      <c r="AJ676" s="29"/>
      <c r="AK676" s="29"/>
      <c r="AL676" s="27"/>
      <c r="AM676" s="27"/>
      <c r="AN676" s="27"/>
      <c r="AO676" s="27"/>
      <c r="AP676" s="27"/>
      <c r="AY676" s="27"/>
      <c r="AZ676" s="27"/>
      <c r="BA676" s="27"/>
      <c r="BB676" s="27"/>
      <c r="BC676" s="28"/>
      <c r="BD676" s="29"/>
      <c r="BE676" s="29"/>
      <c r="BF676" s="27"/>
      <c r="BG676" s="27"/>
      <c r="BH676" s="27"/>
      <c r="BI676" s="27"/>
      <c r="BJ676" s="27"/>
      <c r="BK676" s="27"/>
      <c r="BL676" s="27"/>
      <c r="BM676" s="27"/>
    </row>
    <row r="677">
      <c r="I677" s="27"/>
      <c r="J677" s="27"/>
      <c r="K677" s="27"/>
      <c r="L677" s="27"/>
      <c r="M677" s="28"/>
      <c r="N677" s="29"/>
      <c r="O677" s="29"/>
      <c r="P677" s="29"/>
      <c r="Q677" s="27"/>
      <c r="R677" s="27"/>
      <c r="S677" s="27"/>
      <c r="T677" s="27"/>
      <c r="U677" s="27"/>
      <c r="V677" s="27"/>
      <c r="AE677" s="27"/>
      <c r="AF677" s="27"/>
      <c r="AG677" s="27"/>
      <c r="AH677" s="27"/>
      <c r="AI677" s="28"/>
      <c r="AJ677" s="29"/>
      <c r="AK677" s="29"/>
      <c r="AL677" s="27"/>
      <c r="AM677" s="27"/>
      <c r="AN677" s="27"/>
      <c r="AO677" s="27"/>
      <c r="AP677" s="27"/>
      <c r="AY677" s="27"/>
      <c r="AZ677" s="27"/>
      <c r="BA677" s="27"/>
      <c r="BB677" s="27"/>
      <c r="BC677" s="28"/>
      <c r="BD677" s="29"/>
      <c r="BE677" s="29"/>
      <c r="BF677" s="27"/>
      <c r="BG677" s="27"/>
      <c r="BH677" s="27"/>
      <c r="BI677" s="27"/>
      <c r="BJ677" s="27"/>
      <c r="BK677" s="27"/>
      <c r="BL677" s="27"/>
      <c r="BM677" s="27"/>
    </row>
    <row r="678">
      <c r="I678" s="27"/>
      <c r="J678" s="27"/>
      <c r="K678" s="27"/>
      <c r="L678" s="27"/>
      <c r="M678" s="28"/>
      <c r="N678" s="29"/>
      <c r="O678" s="29"/>
      <c r="P678" s="29"/>
      <c r="Q678" s="27"/>
      <c r="R678" s="27"/>
      <c r="S678" s="27"/>
      <c r="T678" s="27"/>
      <c r="U678" s="27"/>
      <c r="V678" s="27"/>
      <c r="AE678" s="27"/>
      <c r="AF678" s="27"/>
      <c r="AG678" s="27"/>
      <c r="AH678" s="27"/>
      <c r="AI678" s="28"/>
      <c r="AJ678" s="29"/>
      <c r="AK678" s="29"/>
      <c r="AL678" s="27"/>
      <c r="AM678" s="27"/>
      <c r="AN678" s="27"/>
      <c r="AO678" s="27"/>
      <c r="AP678" s="27"/>
      <c r="AY678" s="27"/>
      <c r="AZ678" s="27"/>
      <c r="BA678" s="27"/>
      <c r="BB678" s="27"/>
      <c r="BC678" s="28"/>
      <c r="BD678" s="29"/>
      <c r="BE678" s="29"/>
      <c r="BF678" s="27"/>
      <c r="BG678" s="27"/>
      <c r="BH678" s="27"/>
      <c r="BI678" s="27"/>
      <c r="BJ678" s="27"/>
      <c r="BK678" s="27"/>
      <c r="BL678" s="27"/>
      <c r="BM678" s="27"/>
    </row>
    <row r="679">
      <c r="I679" s="27"/>
      <c r="J679" s="27"/>
      <c r="K679" s="27"/>
      <c r="L679" s="27"/>
      <c r="M679" s="28"/>
      <c r="N679" s="29"/>
      <c r="O679" s="29"/>
      <c r="P679" s="29"/>
      <c r="Q679" s="27"/>
      <c r="R679" s="27"/>
      <c r="S679" s="27"/>
      <c r="T679" s="27"/>
      <c r="U679" s="27"/>
      <c r="V679" s="27"/>
      <c r="AE679" s="27"/>
      <c r="AF679" s="27"/>
      <c r="AG679" s="27"/>
      <c r="AH679" s="27"/>
      <c r="AI679" s="28"/>
      <c r="AJ679" s="29"/>
      <c r="AK679" s="29"/>
      <c r="AL679" s="27"/>
      <c r="AM679" s="27"/>
      <c r="AN679" s="27"/>
      <c r="AO679" s="27"/>
      <c r="AP679" s="27"/>
      <c r="AY679" s="27"/>
      <c r="AZ679" s="27"/>
      <c r="BA679" s="27"/>
      <c r="BB679" s="27"/>
      <c r="BC679" s="28"/>
      <c r="BD679" s="29"/>
      <c r="BE679" s="29"/>
      <c r="BF679" s="27"/>
      <c r="BG679" s="27"/>
      <c r="BH679" s="27"/>
      <c r="BI679" s="27"/>
      <c r="BJ679" s="27"/>
      <c r="BK679" s="27"/>
      <c r="BL679" s="27"/>
      <c r="BM679" s="27"/>
    </row>
    <row r="680">
      <c r="I680" s="27"/>
      <c r="J680" s="27"/>
      <c r="K680" s="27"/>
      <c r="L680" s="27"/>
      <c r="M680" s="28"/>
      <c r="N680" s="29"/>
      <c r="O680" s="29"/>
      <c r="P680" s="29"/>
      <c r="Q680" s="27"/>
      <c r="R680" s="27"/>
      <c r="S680" s="27"/>
      <c r="T680" s="27"/>
      <c r="U680" s="27"/>
      <c r="V680" s="27"/>
      <c r="AE680" s="27"/>
      <c r="AF680" s="27"/>
      <c r="AG680" s="27"/>
      <c r="AH680" s="27"/>
      <c r="AI680" s="28"/>
      <c r="AJ680" s="29"/>
      <c r="AK680" s="29"/>
      <c r="AL680" s="27"/>
      <c r="AM680" s="27"/>
      <c r="AN680" s="27"/>
      <c r="AO680" s="27"/>
      <c r="AP680" s="27"/>
      <c r="AY680" s="27"/>
      <c r="AZ680" s="27"/>
      <c r="BA680" s="27"/>
      <c r="BB680" s="27"/>
      <c r="BC680" s="28"/>
      <c r="BD680" s="29"/>
      <c r="BE680" s="29"/>
      <c r="BF680" s="27"/>
      <c r="BG680" s="27"/>
      <c r="BH680" s="27"/>
      <c r="BI680" s="27"/>
      <c r="BJ680" s="27"/>
      <c r="BK680" s="27"/>
      <c r="BL680" s="27"/>
      <c r="BM680" s="27"/>
    </row>
    <row r="681">
      <c r="I681" s="27"/>
      <c r="J681" s="27"/>
      <c r="K681" s="27"/>
      <c r="L681" s="27"/>
      <c r="M681" s="28"/>
      <c r="N681" s="29"/>
      <c r="O681" s="29"/>
      <c r="P681" s="29"/>
      <c r="Q681" s="27"/>
      <c r="R681" s="27"/>
      <c r="S681" s="27"/>
      <c r="T681" s="27"/>
      <c r="U681" s="27"/>
      <c r="V681" s="27"/>
      <c r="AE681" s="27"/>
      <c r="AF681" s="27"/>
      <c r="AG681" s="27"/>
      <c r="AH681" s="27"/>
      <c r="AI681" s="28"/>
      <c r="AJ681" s="29"/>
      <c r="AK681" s="29"/>
      <c r="AL681" s="27"/>
      <c r="AM681" s="27"/>
      <c r="AN681" s="27"/>
      <c r="AO681" s="27"/>
      <c r="AP681" s="27"/>
      <c r="AY681" s="27"/>
      <c r="AZ681" s="27"/>
      <c r="BA681" s="27"/>
      <c r="BB681" s="27"/>
      <c r="BC681" s="28"/>
      <c r="BD681" s="29"/>
      <c r="BE681" s="29"/>
      <c r="BF681" s="27"/>
      <c r="BG681" s="27"/>
      <c r="BH681" s="27"/>
      <c r="BI681" s="27"/>
      <c r="BJ681" s="27"/>
      <c r="BK681" s="27"/>
      <c r="BL681" s="27"/>
      <c r="BM681" s="27"/>
    </row>
    <row r="682">
      <c r="I682" s="27"/>
      <c r="J682" s="27"/>
      <c r="K682" s="27"/>
      <c r="L682" s="27"/>
      <c r="M682" s="28"/>
      <c r="N682" s="29"/>
      <c r="O682" s="29"/>
      <c r="P682" s="29"/>
      <c r="Q682" s="27"/>
      <c r="R682" s="27"/>
      <c r="S682" s="27"/>
      <c r="T682" s="27"/>
      <c r="U682" s="27"/>
      <c r="V682" s="27"/>
      <c r="AE682" s="27"/>
      <c r="AF682" s="27"/>
      <c r="AG682" s="27"/>
      <c r="AH682" s="27"/>
      <c r="AI682" s="28"/>
      <c r="AJ682" s="29"/>
      <c r="AK682" s="29"/>
      <c r="AL682" s="27"/>
      <c r="AM682" s="27"/>
      <c r="AN682" s="27"/>
      <c r="AO682" s="27"/>
      <c r="AP682" s="27"/>
      <c r="AY682" s="27"/>
      <c r="AZ682" s="27"/>
      <c r="BA682" s="27"/>
      <c r="BB682" s="27"/>
      <c r="BC682" s="28"/>
      <c r="BD682" s="29"/>
      <c r="BE682" s="29"/>
      <c r="BF682" s="27"/>
      <c r="BG682" s="27"/>
      <c r="BH682" s="27"/>
      <c r="BI682" s="27"/>
      <c r="BJ682" s="27"/>
      <c r="BK682" s="27"/>
      <c r="BL682" s="27"/>
      <c r="BM682" s="27"/>
    </row>
    <row r="683">
      <c r="I683" s="27"/>
      <c r="J683" s="27"/>
      <c r="K683" s="27"/>
      <c r="L683" s="27"/>
      <c r="M683" s="28"/>
      <c r="N683" s="29"/>
      <c r="O683" s="29"/>
      <c r="P683" s="29"/>
      <c r="Q683" s="27"/>
      <c r="R683" s="27"/>
      <c r="S683" s="27"/>
      <c r="T683" s="27"/>
      <c r="U683" s="27"/>
      <c r="V683" s="27"/>
      <c r="AE683" s="27"/>
      <c r="AF683" s="27"/>
      <c r="AG683" s="27"/>
      <c r="AH683" s="27"/>
      <c r="AI683" s="28"/>
      <c r="AJ683" s="29"/>
      <c r="AK683" s="29"/>
      <c r="AL683" s="27"/>
      <c r="AM683" s="27"/>
      <c r="AN683" s="27"/>
      <c r="AO683" s="27"/>
      <c r="AP683" s="27"/>
      <c r="AY683" s="27"/>
      <c r="AZ683" s="27"/>
      <c r="BA683" s="27"/>
      <c r="BB683" s="27"/>
      <c r="BC683" s="28"/>
      <c r="BD683" s="29"/>
      <c r="BE683" s="29"/>
      <c r="BF683" s="27"/>
      <c r="BG683" s="27"/>
      <c r="BH683" s="27"/>
      <c r="BI683" s="27"/>
      <c r="BJ683" s="27"/>
      <c r="BK683" s="27"/>
      <c r="BL683" s="27"/>
      <c r="BM683" s="27"/>
    </row>
    <row r="684">
      <c r="I684" s="27"/>
      <c r="J684" s="27"/>
      <c r="K684" s="27"/>
      <c r="L684" s="27"/>
      <c r="M684" s="28"/>
      <c r="N684" s="29"/>
      <c r="O684" s="29"/>
      <c r="P684" s="29"/>
      <c r="Q684" s="27"/>
      <c r="R684" s="27"/>
      <c r="S684" s="27"/>
      <c r="T684" s="27"/>
      <c r="U684" s="27"/>
      <c r="V684" s="27"/>
      <c r="AE684" s="27"/>
      <c r="AF684" s="27"/>
      <c r="AG684" s="27"/>
      <c r="AH684" s="27"/>
      <c r="AI684" s="28"/>
      <c r="AJ684" s="29"/>
      <c r="AK684" s="29"/>
      <c r="AL684" s="27"/>
      <c r="AM684" s="27"/>
      <c r="AN684" s="27"/>
      <c r="AO684" s="27"/>
      <c r="AP684" s="27"/>
      <c r="AY684" s="27"/>
      <c r="AZ684" s="27"/>
      <c r="BA684" s="27"/>
      <c r="BB684" s="27"/>
      <c r="BC684" s="28"/>
      <c r="BD684" s="29"/>
      <c r="BE684" s="29"/>
      <c r="BF684" s="27"/>
      <c r="BG684" s="27"/>
      <c r="BH684" s="27"/>
      <c r="BI684" s="27"/>
      <c r="BJ684" s="27"/>
      <c r="BK684" s="27"/>
      <c r="BL684" s="27"/>
      <c r="BM684" s="27"/>
    </row>
    <row r="685">
      <c r="I685" s="27"/>
      <c r="J685" s="27"/>
      <c r="K685" s="27"/>
      <c r="L685" s="27"/>
      <c r="M685" s="28"/>
      <c r="N685" s="29"/>
      <c r="O685" s="29"/>
      <c r="P685" s="29"/>
      <c r="Q685" s="27"/>
      <c r="R685" s="27"/>
      <c r="S685" s="27"/>
      <c r="T685" s="27"/>
      <c r="U685" s="27"/>
      <c r="V685" s="27"/>
      <c r="AE685" s="27"/>
      <c r="AF685" s="27"/>
      <c r="AG685" s="27"/>
      <c r="AH685" s="27"/>
      <c r="AI685" s="28"/>
      <c r="AJ685" s="29"/>
      <c r="AK685" s="29"/>
      <c r="AL685" s="27"/>
      <c r="AM685" s="27"/>
      <c r="AN685" s="27"/>
      <c r="AO685" s="27"/>
      <c r="AP685" s="27"/>
      <c r="AY685" s="27"/>
      <c r="AZ685" s="27"/>
      <c r="BA685" s="27"/>
      <c r="BB685" s="27"/>
      <c r="BC685" s="28"/>
      <c r="BD685" s="29"/>
      <c r="BE685" s="29"/>
      <c r="BF685" s="27"/>
      <c r="BG685" s="27"/>
      <c r="BH685" s="27"/>
      <c r="BI685" s="27"/>
      <c r="BJ685" s="27"/>
      <c r="BK685" s="27"/>
      <c r="BL685" s="27"/>
      <c r="BM685" s="27"/>
    </row>
    <row r="686">
      <c r="I686" s="27"/>
      <c r="J686" s="27"/>
      <c r="K686" s="27"/>
      <c r="L686" s="27"/>
      <c r="M686" s="28"/>
      <c r="N686" s="29"/>
      <c r="O686" s="29"/>
      <c r="P686" s="29"/>
      <c r="Q686" s="27"/>
      <c r="R686" s="27"/>
      <c r="S686" s="27"/>
      <c r="T686" s="27"/>
      <c r="U686" s="27"/>
      <c r="V686" s="27"/>
      <c r="AE686" s="27"/>
      <c r="AF686" s="27"/>
      <c r="AG686" s="27"/>
      <c r="AH686" s="27"/>
      <c r="AI686" s="28"/>
      <c r="AJ686" s="29"/>
      <c r="AK686" s="29"/>
      <c r="AL686" s="27"/>
      <c r="AM686" s="27"/>
      <c r="AN686" s="27"/>
      <c r="AO686" s="27"/>
      <c r="AP686" s="27"/>
      <c r="AY686" s="27"/>
      <c r="AZ686" s="27"/>
      <c r="BA686" s="27"/>
      <c r="BB686" s="27"/>
      <c r="BC686" s="28"/>
      <c r="BD686" s="29"/>
      <c r="BE686" s="29"/>
      <c r="BF686" s="27"/>
      <c r="BG686" s="27"/>
      <c r="BH686" s="27"/>
      <c r="BI686" s="27"/>
      <c r="BJ686" s="27"/>
      <c r="BK686" s="27"/>
      <c r="BL686" s="27"/>
      <c r="BM686" s="27"/>
    </row>
    <row r="687">
      <c r="I687" s="27"/>
      <c r="J687" s="27"/>
      <c r="K687" s="27"/>
      <c r="L687" s="27"/>
      <c r="M687" s="28"/>
      <c r="N687" s="29"/>
      <c r="O687" s="29"/>
      <c r="P687" s="29"/>
      <c r="Q687" s="27"/>
      <c r="R687" s="27"/>
      <c r="S687" s="27"/>
      <c r="T687" s="27"/>
      <c r="U687" s="27"/>
      <c r="V687" s="27"/>
      <c r="AE687" s="27"/>
      <c r="AF687" s="27"/>
      <c r="AG687" s="27"/>
      <c r="AH687" s="27"/>
      <c r="AI687" s="28"/>
      <c r="AJ687" s="29"/>
      <c r="AK687" s="29"/>
      <c r="AL687" s="27"/>
      <c r="AM687" s="27"/>
      <c r="AN687" s="27"/>
      <c r="AO687" s="27"/>
      <c r="AP687" s="27"/>
      <c r="AY687" s="27"/>
      <c r="AZ687" s="27"/>
      <c r="BA687" s="27"/>
      <c r="BB687" s="27"/>
      <c r="BC687" s="28"/>
      <c r="BD687" s="29"/>
      <c r="BE687" s="29"/>
      <c r="BF687" s="27"/>
      <c r="BG687" s="27"/>
      <c r="BH687" s="27"/>
      <c r="BI687" s="27"/>
      <c r="BJ687" s="27"/>
      <c r="BK687" s="27"/>
      <c r="BL687" s="27"/>
      <c r="BM687" s="27"/>
    </row>
    <row r="688">
      <c r="I688" s="27"/>
      <c r="J688" s="27"/>
      <c r="K688" s="27"/>
      <c r="L688" s="27"/>
      <c r="M688" s="28"/>
      <c r="N688" s="29"/>
      <c r="O688" s="29"/>
      <c r="P688" s="29"/>
      <c r="Q688" s="27"/>
      <c r="R688" s="27"/>
      <c r="S688" s="27"/>
      <c r="T688" s="27"/>
      <c r="U688" s="27"/>
      <c r="V688" s="27"/>
      <c r="AE688" s="27"/>
      <c r="AF688" s="27"/>
      <c r="AG688" s="27"/>
      <c r="AH688" s="27"/>
      <c r="AI688" s="28"/>
      <c r="AJ688" s="29"/>
      <c r="AK688" s="29"/>
      <c r="AL688" s="27"/>
      <c r="AM688" s="27"/>
      <c r="AN688" s="27"/>
      <c r="AO688" s="27"/>
      <c r="AP688" s="27"/>
      <c r="AY688" s="27"/>
      <c r="AZ688" s="27"/>
      <c r="BA688" s="27"/>
      <c r="BB688" s="27"/>
      <c r="BC688" s="28"/>
      <c r="BD688" s="29"/>
      <c r="BE688" s="29"/>
      <c r="BF688" s="27"/>
      <c r="BG688" s="27"/>
      <c r="BH688" s="27"/>
      <c r="BI688" s="27"/>
      <c r="BJ688" s="27"/>
      <c r="BK688" s="27"/>
      <c r="BL688" s="27"/>
      <c r="BM688" s="27"/>
    </row>
    <row r="689">
      <c r="I689" s="27"/>
      <c r="J689" s="27"/>
      <c r="K689" s="27"/>
      <c r="L689" s="27"/>
      <c r="M689" s="28"/>
      <c r="N689" s="29"/>
      <c r="O689" s="29"/>
      <c r="P689" s="29"/>
      <c r="Q689" s="27"/>
      <c r="R689" s="27"/>
      <c r="S689" s="27"/>
      <c r="T689" s="27"/>
      <c r="U689" s="27"/>
      <c r="V689" s="27"/>
      <c r="AE689" s="27"/>
      <c r="AF689" s="27"/>
      <c r="AG689" s="27"/>
      <c r="AH689" s="27"/>
      <c r="AI689" s="28"/>
      <c r="AJ689" s="29"/>
      <c r="AK689" s="29"/>
      <c r="AL689" s="27"/>
      <c r="AM689" s="27"/>
      <c r="AN689" s="27"/>
      <c r="AO689" s="27"/>
      <c r="AP689" s="27"/>
      <c r="AY689" s="27"/>
      <c r="AZ689" s="27"/>
      <c r="BA689" s="27"/>
      <c r="BB689" s="27"/>
      <c r="BC689" s="28"/>
      <c r="BD689" s="29"/>
      <c r="BE689" s="29"/>
      <c r="BF689" s="27"/>
      <c r="BG689" s="27"/>
      <c r="BH689" s="27"/>
      <c r="BI689" s="27"/>
      <c r="BJ689" s="27"/>
      <c r="BK689" s="27"/>
      <c r="BL689" s="27"/>
      <c r="BM689" s="27"/>
    </row>
    <row r="690">
      <c r="I690" s="27"/>
      <c r="J690" s="27"/>
      <c r="K690" s="27"/>
      <c r="L690" s="27"/>
      <c r="M690" s="28"/>
      <c r="N690" s="29"/>
      <c r="O690" s="29"/>
      <c r="P690" s="29"/>
      <c r="Q690" s="27"/>
      <c r="R690" s="27"/>
      <c r="S690" s="27"/>
      <c r="T690" s="27"/>
      <c r="U690" s="27"/>
      <c r="V690" s="27"/>
      <c r="AE690" s="27"/>
      <c r="AF690" s="27"/>
      <c r="AG690" s="27"/>
      <c r="AH690" s="27"/>
      <c r="AI690" s="28"/>
      <c r="AJ690" s="29"/>
      <c r="AK690" s="29"/>
      <c r="AL690" s="27"/>
      <c r="AM690" s="27"/>
      <c r="AN690" s="27"/>
      <c r="AO690" s="27"/>
      <c r="AP690" s="27"/>
      <c r="AY690" s="27"/>
      <c r="AZ690" s="27"/>
      <c r="BA690" s="27"/>
      <c r="BB690" s="27"/>
      <c r="BC690" s="28"/>
      <c r="BD690" s="29"/>
      <c r="BE690" s="29"/>
      <c r="BF690" s="27"/>
      <c r="BG690" s="27"/>
      <c r="BH690" s="27"/>
      <c r="BI690" s="27"/>
      <c r="BJ690" s="27"/>
      <c r="BK690" s="27"/>
      <c r="BL690" s="27"/>
      <c r="BM690" s="27"/>
    </row>
    <row r="691">
      <c r="I691" s="27"/>
      <c r="J691" s="27"/>
      <c r="K691" s="27"/>
      <c r="L691" s="27"/>
      <c r="M691" s="28"/>
      <c r="N691" s="29"/>
      <c r="O691" s="29"/>
      <c r="P691" s="29"/>
      <c r="Q691" s="27"/>
      <c r="R691" s="27"/>
      <c r="S691" s="27"/>
      <c r="T691" s="27"/>
      <c r="U691" s="27"/>
      <c r="V691" s="27"/>
      <c r="AE691" s="27"/>
      <c r="AF691" s="27"/>
      <c r="AG691" s="27"/>
      <c r="AH691" s="27"/>
      <c r="AI691" s="28"/>
      <c r="AJ691" s="29"/>
      <c r="AK691" s="29"/>
      <c r="AL691" s="27"/>
      <c r="AM691" s="27"/>
      <c r="AN691" s="27"/>
      <c r="AO691" s="27"/>
      <c r="AP691" s="27"/>
      <c r="AY691" s="27"/>
      <c r="AZ691" s="27"/>
      <c r="BA691" s="27"/>
      <c r="BB691" s="27"/>
      <c r="BC691" s="28"/>
      <c r="BD691" s="29"/>
      <c r="BE691" s="29"/>
      <c r="BF691" s="27"/>
      <c r="BG691" s="27"/>
      <c r="BH691" s="27"/>
      <c r="BI691" s="27"/>
      <c r="BJ691" s="27"/>
      <c r="BK691" s="27"/>
      <c r="BL691" s="27"/>
      <c r="BM691" s="27"/>
    </row>
    <row r="692">
      <c r="I692" s="27"/>
      <c r="J692" s="27"/>
      <c r="K692" s="27"/>
      <c r="L692" s="27"/>
      <c r="M692" s="28"/>
      <c r="N692" s="29"/>
      <c r="O692" s="29"/>
      <c r="P692" s="29"/>
      <c r="Q692" s="27"/>
      <c r="R692" s="27"/>
      <c r="S692" s="27"/>
      <c r="T692" s="27"/>
      <c r="U692" s="27"/>
      <c r="V692" s="27"/>
      <c r="AE692" s="27"/>
      <c r="AF692" s="27"/>
      <c r="AG692" s="27"/>
      <c r="AH692" s="27"/>
      <c r="AI692" s="28"/>
      <c r="AJ692" s="29"/>
      <c r="AK692" s="29"/>
      <c r="AL692" s="27"/>
      <c r="AM692" s="27"/>
      <c r="AN692" s="27"/>
      <c r="AO692" s="27"/>
      <c r="AP692" s="27"/>
      <c r="AY692" s="27"/>
      <c r="AZ692" s="27"/>
      <c r="BA692" s="27"/>
      <c r="BB692" s="27"/>
      <c r="BC692" s="28"/>
      <c r="BD692" s="29"/>
      <c r="BE692" s="29"/>
      <c r="BF692" s="27"/>
      <c r="BG692" s="27"/>
      <c r="BH692" s="27"/>
      <c r="BI692" s="27"/>
      <c r="BJ692" s="27"/>
      <c r="BK692" s="27"/>
      <c r="BL692" s="27"/>
      <c r="BM692" s="27"/>
    </row>
    <row r="693">
      <c r="I693" s="27"/>
      <c r="J693" s="27"/>
      <c r="K693" s="27"/>
      <c r="L693" s="27"/>
      <c r="M693" s="28"/>
      <c r="N693" s="29"/>
      <c r="O693" s="29"/>
      <c r="P693" s="29"/>
      <c r="Q693" s="27"/>
      <c r="R693" s="27"/>
      <c r="S693" s="27"/>
      <c r="T693" s="27"/>
      <c r="U693" s="27"/>
      <c r="V693" s="27"/>
      <c r="AE693" s="27"/>
      <c r="AF693" s="27"/>
      <c r="AG693" s="27"/>
      <c r="AH693" s="27"/>
      <c r="AI693" s="28"/>
      <c r="AJ693" s="29"/>
      <c r="AK693" s="29"/>
      <c r="AL693" s="27"/>
      <c r="AM693" s="27"/>
      <c r="AN693" s="27"/>
      <c r="AO693" s="27"/>
      <c r="AP693" s="27"/>
      <c r="AY693" s="27"/>
      <c r="AZ693" s="27"/>
      <c r="BA693" s="27"/>
      <c r="BB693" s="27"/>
      <c r="BC693" s="28"/>
      <c r="BD693" s="29"/>
      <c r="BE693" s="29"/>
      <c r="BF693" s="27"/>
      <c r="BG693" s="27"/>
      <c r="BH693" s="27"/>
      <c r="BI693" s="27"/>
      <c r="BJ693" s="27"/>
      <c r="BK693" s="27"/>
      <c r="BL693" s="27"/>
      <c r="BM693" s="27"/>
    </row>
    <row r="694">
      <c r="I694" s="27"/>
      <c r="J694" s="27"/>
      <c r="K694" s="27"/>
      <c r="L694" s="27"/>
      <c r="M694" s="28"/>
      <c r="N694" s="29"/>
      <c r="O694" s="29"/>
      <c r="P694" s="29"/>
      <c r="Q694" s="27"/>
      <c r="R694" s="27"/>
      <c r="S694" s="27"/>
      <c r="T694" s="27"/>
      <c r="U694" s="27"/>
      <c r="V694" s="27"/>
      <c r="AE694" s="27"/>
      <c r="AF694" s="27"/>
      <c r="AG694" s="27"/>
      <c r="AH694" s="27"/>
      <c r="AI694" s="28"/>
      <c r="AJ694" s="29"/>
      <c r="AK694" s="29"/>
      <c r="AL694" s="27"/>
      <c r="AM694" s="27"/>
      <c r="AN694" s="27"/>
      <c r="AO694" s="27"/>
      <c r="AP694" s="27"/>
      <c r="AY694" s="27"/>
      <c r="AZ694" s="27"/>
      <c r="BA694" s="27"/>
      <c r="BB694" s="27"/>
      <c r="BC694" s="28"/>
      <c r="BD694" s="29"/>
      <c r="BE694" s="29"/>
      <c r="BF694" s="27"/>
      <c r="BG694" s="27"/>
      <c r="BH694" s="27"/>
      <c r="BI694" s="27"/>
      <c r="BJ694" s="27"/>
      <c r="BK694" s="27"/>
      <c r="BL694" s="27"/>
      <c r="BM694" s="27"/>
    </row>
    <row r="695">
      <c r="I695" s="27"/>
      <c r="J695" s="27"/>
      <c r="K695" s="27"/>
      <c r="L695" s="27"/>
      <c r="M695" s="28"/>
      <c r="N695" s="29"/>
      <c r="O695" s="29"/>
      <c r="P695" s="29"/>
      <c r="Q695" s="27"/>
      <c r="R695" s="27"/>
      <c r="S695" s="27"/>
      <c r="T695" s="27"/>
      <c r="U695" s="27"/>
      <c r="V695" s="27"/>
      <c r="AE695" s="27"/>
      <c r="AF695" s="27"/>
      <c r="AG695" s="27"/>
      <c r="AH695" s="27"/>
      <c r="AI695" s="28"/>
      <c r="AJ695" s="29"/>
      <c r="AK695" s="29"/>
      <c r="AL695" s="27"/>
      <c r="AM695" s="27"/>
      <c r="AN695" s="27"/>
      <c r="AO695" s="27"/>
      <c r="AP695" s="27"/>
      <c r="AY695" s="27"/>
      <c r="AZ695" s="27"/>
      <c r="BA695" s="27"/>
      <c r="BB695" s="27"/>
      <c r="BC695" s="28"/>
      <c r="BD695" s="29"/>
      <c r="BE695" s="29"/>
      <c r="BF695" s="27"/>
      <c r="BG695" s="27"/>
      <c r="BH695" s="27"/>
      <c r="BI695" s="27"/>
      <c r="BJ695" s="27"/>
      <c r="BK695" s="27"/>
      <c r="BL695" s="27"/>
      <c r="BM695" s="27"/>
    </row>
    <row r="696">
      <c r="I696" s="27"/>
      <c r="J696" s="27"/>
      <c r="K696" s="27"/>
      <c r="L696" s="27"/>
      <c r="M696" s="28"/>
      <c r="N696" s="29"/>
      <c r="O696" s="29"/>
      <c r="P696" s="29"/>
      <c r="Q696" s="27"/>
      <c r="R696" s="27"/>
      <c r="S696" s="27"/>
      <c r="T696" s="27"/>
      <c r="U696" s="27"/>
      <c r="V696" s="27"/>
      <c r="AE696" s="27"/>
      <c r="AF696" s="27"/>
      <c r="AG696" s="27"/>
      <c r="AH696" s="27"/>
      <c r="AI696" s="28"/>
      <c r="AJ696" s="29"/>
      <c r="AK696" s="29"/>
      <c r="AL696" s="27"/>
      <c r="AM696" s="27"/>
      <c r="AN696" s="27"/>
      <c r="AO696" s="27"/>
      <c r="AP696" s="27"/>
      <c r="AY696" s="27"/>
      <c r="AZ696" s="27"/>
      <c r="BA696" s="27"/>
      <c r="BB696" s="27"/>
      <c r="BC696" s="28"/>
      <c r="BD696" s="29"/>
      <c r="BE696" s="29"/>
      <c r="BF696" s="27"/>
      <c r="BG696" s="27"/>
      <c r="BH696" s="27"/>
      <c r="BI696" s="27"/>
      <c r="BJ696" s="27"/>
      <c r="BK696" s="27"/>
      <c r="BL696" s="27"/>
      <c r="BM696" s="27"/>
    </row>
    <row r="697">
      <c r="I697" s="27"/>
      <c r="J697" s="27"/>
      <c r="K697" s="27"/>
      <c r="L697" s="27"/>
      <c r="M697" s="28"/>
      <c r="N697" s="29"/>
      <c r="O697" s="29"/>
      <c r="P697" s="29"/>
      <c r="Q697" s="27"/>
      <c r="R697" s="27"/>
      <c r="S697" s="27"/>
      <c r="T697" s="27"/>
      <c r="U697" s="27"/>
      <c r="V697" s="27"/>
      <c r="AE697" s="27"/>
      <c r="AF697" s="27"/>
      <c r="AG697" s="27"/>
      <c r="AH697" s="27"/>
      <c r="AI697" s="28"/>
      <c r="AJ697" s="29"/>
      <c r="AK697" s="29"/>
      <c r="AL697" s="27"/>
      <c r="AM697" s="27"/>
      <c r="AN697" s="27"/>
      <c r="AO697" s="27"/>
      <c r="AP697" s="27"/>
      <c r="AY697" s="27"/>
      <c r="AZ697" s="27"/>
      <c r="BA697" s="27"/>
      <c r="BB697" s="27"/>
      <c r="BC697" s="28"/>
      <c r="BD697" s="29"/>
      <c r="BE697" s="29"/>
      <c r="BF697" s="27"/>
      <c r="BG697" s="27"/>
      <c r="BH697" s="27"/>
      <c r="BI697" s="27"/>
      <c r="BJ697" s="27"/>
      <c r="BK697" s="27"/>
      <c r="BL697" s="27"/>
      <c r="BM697" s="27"/>
    </row>
    <row r="698">
      <c r="I698" s="27"/>
      <c r="J698" s="27"/>
      <c r="K698" s="27"/>
      <c r="L698" s="27"/>
      <c r="M698" s="28"/>
      <c r="N698" s="29"/>
      <c r="O698" s="29"/>
      <c r="P698" s="29"/>
      <c r="Q698" s="27"/>
      <c r="R698" s="27"/>
      <c r="S698" s="27"/>
      <c r="T698" s="27"/>
      <c r="U698" s="27"/>
      <c r="V698" s="27"/>
      <c r="AE698" s="27"/>
      <c r="AF698" s="27"/>
      <c r="AG698" s="27"/>
      <c r="AH698" s="27"/>
      <c r="AI698" s="28"/>
      <c r="AJ698" s="29"/>
      <c r="AK698" s="29"/>
      <c r="AL698" s="27"/>
      <c r="AM698" s="27"/>
      <c r="AN698" s="27"/>
      <c r="AO698" s="27"/>
      <c r="AP698" s="27"/>
      <c r="AY698" s="27"/>
      <c r="AZ698" s="27"/>
      <c r="BA698" s="27"/>
      <c r="BB698" s="27"/>
      <c r="BC698" s="28"/>
      <c r="BD698" s="29"/>
      <c r="BE698" s="29"/>
      <c r="BF698" s="27"/>
      <c r="BG698" s="27"/>
      <c r="BH698" s="27"/>
      <c r="BI698" s="27"/>
      <c r="BJ698" s="27"/>
      <c r="BK698" s="27"/>
      <c r="BL698" s="27"/>
      <c r="BM698" s="27"/>
    </row>
    <row r="699">
      <c r="I699" s="27"/>
      <c r="J699" s="27"/>
      <c r="K699" s="27"/>
      <c r="L699" s="27"/>
      <c r="M699" s="28"/>
      <c r="N699" s="29"/>
      <c r="O699" s="29"/>
      <c r="P699" s="29"/>
      <c r="Q699" s="27"/>
      <c r="R699" s="27"/>
      <c r="S699" s="27"/>
      <c r="T699" s="27"/>
      <c r="U699" s="27"/>
      <c r="V699" s="27"/>
      <c r="AE699" s="27"/>
      <c r="AF699" s="27"/>
      <c r="AG699" s="27"/>
      <c r="AH699" s="27"/>
      <c r="AI699" s="28"/>
      <c r="AJ699" s="29"/>
      <c r="AK699" s="29"/>
      <c r="AL699" s="27"/>
      <c r="AM699" s="27"/>
      <c r="AN699" s="27"/>
      <c r="AO699" s="27"/>
      <c r="AP699" s="27"/>
      <c r="AY699" s="27"/>
      <c r="AZ699" s="27"/>
      <c r="BA699" s="27"/>
      <c r="BB699" s="27"/>
      <c r="BC699" s="28"/>
      <c r="BD699" s="29"/>
      <c r="BE699" s="29"/>
      <c r="BF699" s="27"/>
      <c r="BG699" s="27"/>
      <c r="BH699" s="27"/>
      <c r="BI699" s="27"/>
      <c r="BJ699" s="27"/>
      <c r="BK699" s="27"/>
      <c r="BL699" s="27"/>
      <c r="BM699" s="27"/>
    </row>
    <row r="700">
      <c r="I700" s="27"/>
      <c r="J700" s="27"/>
      <c r="K700" s="27"/>
      <c r="L700" s="27"/>
      <c r="M700" s="28"/>
      <c r="N700" s="29"/>
      <c r="O700" s="29"/>
      <c r="P700" s="29"/>
      <c r="Q700" s="27"/>
      <c r="R700" s="27"/>
      <c r="S700" s="27"/>
      <c r="T700" s="27"/>
      <c r="U700" s="27"/>
      <c r="V700" s="27"/>
      <c r="AE700" s="27"/>
      <c r="AF700" s="27"/>
      <c r="AG700" s="27"/>
      <c r="AH700" s="27"/>
      <c r="AI700" s="28"/>
      <c r="AJ700" s="29"/>
      <c r="AK700" s="29"/>
      <c r="AL700" s="27"/>
      <c r="AM700" s="27"/>
      <c r="AN700" s="27"/>
      <c r="AO700" s="27"/>
      <c r="AP700" s="27"/>
      <c r="AY700" s="27"/>
      <c r="AZ700" s="27"/>
      <c r="BA700" s="27"/>
      <c r="BB700" s="27"/>
      <c r="BC700" s="28"/>
      <c r="BD700" s="29"/>
      <c r="BE700" s="29"/>
      <c r="BF700" s="27"/>
      <c r="BG700" s="27"/>
      <c r="BH700" s="27"/>
      <c r="BI700" s="27"/>
      <c r="BJ700" s="27"/>
      <c r="BK700" s="27"/>
      <c r="BL700" s="27"/>
      <c r="BM700" s="27"/>
    </row>
    <row r="701">
      <c r="I701" s="27"/>
      <c r="J701" s="27"/>
      <c r="K701" s="27"/>
      <c r="L701" s="27"/>
      <c r="M701" s="28"/>
      <c r="N701" s="29"/>
      <c r="O701" s="29"/>
      <c r="P701" s="29"/>
      <c r="Q701" s="27"/>
      <c r="R701" s="27"/>
      <c r="S701" s="27"/>
      <c r="T701" s="27"/>
      <c r="U701" s="27"/>
      <c r="V701" s="27"/>
      <c r="AE701" s="27"/>
      <c r="AF701" s="27"/>
      <c r="AG701" s="27"/>
      <c r="AH701" s="27"/>
      <c r="AI701" s="28"/>
      <c r="AJ701" s="29"/>
      <c r="AK701" s="29"/>
      <c r="AL701" s="27"/>
      <c r="AM701" s="27"/>
      <c r="AN701" s="27"/>
      <c r="AO701" s="27"/>
      <c r="AP701" s="27"/>
      <c r="AY701" s="27"/>
      <c r="AZ701" s="27"/>
      <c r="BA701" s="27"/>
      <c r="BB701" s="27"/>
      <c r="BC701" s="28"/>
      <c r="BD701" s="29"/>
      <c r="BE701" s="29"/>
      <c r="BF701" s="27"/>
      <c r="BG701" s="27"/>
      <c r="BH701" s="27"/>
      <c r="BI701" s="27"/>
      <c r="BJ701" s="27"/>
      <c r="BK701" s="27"/>
      <c r="BL701" s="27"/>
      <c r="BM701" s="27"/>
    </row>
    <row r="702">
      <c r="I702" s="27"/>
      <c r="J702" s="27"/>
      <c r="K702" s="27"/>
      <c r="L702" s="27"/>
      <c r="M702" s="28"/>
      <c r="N702" s="29"/>
      <c r="O702" s="29"/>
      <c r="P702" s="29"/>
      <c r="Q702" s="27"/>
      <c r="R702" s="27"/>
      <c r="S702" s="27"/>
      <c r="T702" s="27"/>
      <c r="U702" s="27"/>
      <c r="V702" s="27"/>
      <c r="AE702" s="27"/>
      <c r="AF702" s="27"/>
      <c r="AG702" s="27"/>
      <c r="AH702" s="27"/>
      <c r="AI702" s="28"/>
      <c r="AJ702" s="29"/>
      <c r="AK702" s="29"/>
      <c r="AL702" s="27"/>
      <c r="AM702" s="27"/>
      <c r="AN702" s="27"/>
      <c r="AO702" s="27"/>
      <c r="AP702" s="27"/>
      <c r="AY702" s="27"/>
      <c r="AZ702" s="27"/>
      <c r="BA702" s="27"/>
      <c r="BB702" s="27"/>
      <c r="BC702" s="28"/>
      <c r="BD702" s="29"/>
      <c r="BE702" s="29"/>
      <c r="BF702" s="27"/>
      <c r="BG702" s="27"/>
      <c r="BH702" s="27"/>
      <c r="BI702" s="27"/>
      <c r="BJ702" s="27"/>
      <c r="BK702" s="27"/>
      <c r="BL702" s="27"/>
      <c r="BM702" s="27"/>
    </row>
    <row r="703">
      <c r="I703" s="27"/>
      <c r="J703" s="27"/>
      <c r="K703" s="27"/>
      <c r="L703" s="27"/>
      <c r="M703" s="28"/>
      <c r="N703" s="29"/>
      <c r="O703" s="29"/>
      <c r="P703" s="29"/>
      <c r="Q703" s="27"/>
      <c r="R703" s="27"/>
      <c r="S703" s="27"/>
      <c r="T703" s="27"/>
      <c r="U703" s="27"/>
      <c r="V703" s="27"/>
      <c r="AE703" s="27"/>
      <c r="AF703" s="27"/>
      <c r="AG703" s="27"/>
      <c r="AH703" s="27"/>
      <c r="AI703" s="28"/>
      <c r="AJ703" s="29"/>
      <c r="AK703" s="29"/>
      <c r="AL703" s="27"/>
      <c r="AM703" s="27"/>
      <c r="AN703" s="27"/>
      <c r="AO703" s="27"/>
      <c r="AP703" s="27"/>
      <c r="AY703" s="27"/>
      <c r="AZ703" s="27"/>
      <c r="BA703" s="27"/>
      <c r="BB703" s="27"/>
      <c r="BC703" s="28"/>
      <c r="BD703" s="29"/>
      <c r="BE703" s="29"/>
      <c r="BF703" s="27"/>
      <c r="BG703" s="27"/>
      <c r="BH703" s="27"/>
      <c r="BI703" s="27"/>
      <c r="BJ703" s="27"/>
      <c r="BK703" s="27"/>
      <c r="BL703" s="27"/>
      <c r="BM703" s="27"/>
    </row>
    <row r="704">
      <c r="I704" s="27"/>
      <c r="J704" s="27"/>
      <c r="K704" s="27"/>
      <c r="L704" s="27"/>
      <c r="M704" s="28"/>
      <c r="N704" s="29"/>
      <c r="O704" s="29"/>
      <c r="P704" s="29"/>
      <c r="Q704" s="27"/>
      <c r="R704" s="27"/>
      <c r="S704" s="27"/>
      <c r="T704" s="27"/>
      <c r="U704" s="27"/>
      <c r="V704" s="27"/>
      <c r="AE704" s="27"/>
      <c r="AF704" s="27"/>
      <c r="AG704" s="27"/>
      <c r="AH704" s="27"/>
      <c r="AI704" s="28"/>
      <c r="AJ704" s="29"/>
      <c r="AK704" s="29"/>
      <c r="AL704" s="27"/>
      <c r="AM704" s="27"/>
      <c r="AN704" s="27"/>
      <c r="AO704" s="27"/>
      <c r="AP704" s="27"/>
      <c r="AY704" s="27"/>
      <c r="AZ704" s="27"/>
      <c r="BA704" s="27"/>
      <c r="BB704" s="27"/>
      <c r="BC704" s="28"/>
      <c r="BD704" s="29"/>
      <c r="BE704" s="29"/>
      <c r="BF704" s="27"/>
      <c r="BG704" s="27"/>
      <c r="BH704" s="27"/>
      <c r="BI704" s="27"/>
      <c r="BJ704" s="27"/>
      <c r="BK704" s="27"/>
      <c r="BL704" s="27"/>
      <c r="BM704" s="27"/>
    </row>
    <row r="705">
      <c r="I705" s="27"/>
      <c r="J705" s="27"/>
      <c r="K705" s="27"/>
      <c r="L705" s="27"/>
      <c r="M705" s="28"/>
      <c r="N705" s="29"/>
      <c r="O705" s="29"/>
      <c r="P705" s="29"/>
      <c r="Q705" s="27"/>
      <c r="R705" s="27"/>
      <c r="S705" s="27"/>
      <c r="T705" s="27"/>
      <c r="U705" s="27"/>
      <c r="V705" s="27"/>
      <c r="AE705" s="27"/>
      <c r="AF705" s="27"/>
      <c r="AG705" s="27"/>
      <c r="AH705" s="27"/>
      <c r="AI705" s="28"/>
      <c r="AJ705" s="29"/>
      <c r="AK705" s="29"/>
      <c r="AL705" s="27"/>
      <c r="AM705" s="27"/>
      <c r="AN705" s="27"/>
      <c r="AO705" s="27"/>
      <c r="AP705" s="27"/>
      <c r="AY705" s="27"/>
      <c r="AZ705" s="27"/>
      <c r="BA705" s="27"/>
      <c r="BB705" s="27"/>
      <c r="BC705" s="28"/>
      <c r="BD705" s="29"/>
      <c r="BE705" s="29"/>
      <c r="BF705" s="27"/>
      <c r="BG705" s="27"/>
      <c r="BH705" s="27"/>
      <c r="BI705" s="27"/>
      <c r="BJ705" s="27"/>
      <c r="BK705" s="27"/>
      <c r="BL705" s="27"/>
      <c r="BM705" s="27"/>
    </row>
    <row r="706">
      <c r="I706" s="27"/>
      <c r="J706" s="27"/>
      <c r="K706" s="27"/>
      <c r="L706" s="27"/>
      <c r="M706" s="28"/>
      <c r="N706" s="29"/>
      <c r="O706" s="29"/>
      <c r="P706" s="29"/>
      <c r="Q706" s="27"/>
      <c r="R706" s="27"/>
      <c r="S706" s="27"/>
      <c r="T706" s="27"/>
      <c r="U706" s="27"/>
      <c r="V706" s="27"/>
      <c r="AE706" s="27"/>
      <c r="AF706" s="27"/>
      <c r="AG706" s="27"/>
      <c r="AH706" s="27"/>
      <c r="AI706" s="28"/>
      <c r="AJ706" s="29"/>
      <c r="AK706" s="29"/>
      <c r="AL706" s="27"/>
      <c r="AM706" s="27"/>
      <c r="AN706" s="27"/>
      <c r="AO706" s="27"/>
      <c r="AP706" s="27"/>
      <c r="AY706" s="27"/>
      <c r="AZ706" s="27"/>
      <c r="BA706" s="27"/>
      <c r="BB706" s="27"/>
      <c r="BC706" s="28"/>
      <c r="BD706" s="29"/>
      <c r="BE706" s="29"/>
      <c r="BF706" s="27"/>
      <c r="BG706" s="27"/>
      <c r="BH706" s="27"/>
      <c r="BI706" s="27"/>
      <c r="BJ706" s="27"/>
      <c r="BK706" s="27"/>
      <c r="BL706" s="27"/>
      <c r="BM706" s="27"/>
    </row>
    <row r="707">
      <c r="I707" s="27"/>
      <c r="J707" s="27"/>
      <c r="K707" s="27"/>
      <c r="L707" s="27"/>
      <c r="M707" s="28"/>
      <c r="N707" s="29"/>
      <c r="O707" s="29"/>
      <c r="P707" s="29"/>
      <c r="Q707" s="27"/>
      <c r="R707" s="27"/>
      <c r="S707" s="27"/>
      <c r="T707" s="27"/>
      <c r="U707" s="27"/>
      <c r="V707" s="27"/>
      <c r="AE707" s="27"/>
      <c r="AF707" s="27"/>
      <c r="AG707" s="27"/>
      <c r="AH707" s="27"/>
      <c r="AI707" s="28"/>
      <c r="AJ707" s="29"/>
      <c r="AK707" s="29"/>
      <c r="AL707" s="27"/>
      <c r="AM707" s="27"/>
      <c r="AN707" s="27"/>
      <c r="AO707" s="27"/>
      <c r="AP707" s="27"/>
      <c r="AY707" s="27"/>
      <c r="AZ707" s="27"/>
      <c r="BA707" s="27"/>
      <c r="BB707" s="27"/>
      <c r="BC707" s="28"/>
      <c r="BD707" s="29"/>
      <c r="BE707" s="29"/>
      <c r="BF707" s="27"/>
      <c r="BG707" s="27"/>
      <c r="BH707" s="27"/>
      <c r="BI707" s="27"/>
      <c r="BJ707" s="27"/>
      <c r="BK707" s="27"/>
      <c r="BL707" s="27"/>
      <c r="BM707" s="27"/>
    </row>
    <row r="708">
      <c r="I708" s="27"/>
      <c r="J708" s="27"/>
      <c r="K708" s="27"/>
      <c r="L708" s="27"/>
      <c r="M708" s="28"/>
      <c r="N708" s="29"/>
      <c r="O708" s="29"/>
      <c r="P708" s="29"/>
      <c r="Q708" s="27"/>
      <c r="R708" s="27"/>
      <c r="S708" s="27"/>
      <c r="T708" s="27"/>
      <c r="U708" s="27"/>
      <c r="V708" s="27"/>
      <c r="AE708" s="27"/>
      <c r="AF708" s="27"/>
      <c r="AG708" s="27"/>
      <c r="AH708" s="27"/>
      <c r="AI708" s="28"/>
      <c r="AJ708" s="29"/>
      <c r="AK708" s="29"/>
      <c r="AL708" s="27"/>
      <c r="AM708" s="27"/>
      <c r="AN708" s="27"/>
      <c r="AO708" s="27"/>
      <c r="AP708" s="27"/>
      <c r="AY708" s="27"/>
      <c r="AZ708" s="27"/>
      <c r="BA708" s="27"/>
      <c r="BB708" s="27"/>
      <c r="BC708" s="28"/>
      <c r="BD708" s="29"/>
      <c r="BE708" s="29"/>
      <c r="BF708" s="27"/>
      <c r="BG708" s="27"/>
      <c r="BH708" s="27"/>
      <c r="BI708" s="27"/>
      <c r="BJ708" s="27"/>
      <c r="BK708" s="27"/>
      <c r="BL708" s="27"/>
      <c r="BM708" s="27"/>
    </row>
    <row r="709">
      <c r="I709" s="27"/>
      <c r="J709" s="27"/>
      <c r="K709" s="27"/>
      <c r="L709" s="27"/>
      <c r="M709" s="28"/>
      <c r="N709" s="29"/>
      <c r="O709" s="29"/>
      <c r="P709" s="29"/>
      <c r="Q709" s="27"/>
      <c r="R709" s="27"/>
      <c r="S709" s="27"/>
      <c r="T709" s="27"/>
      <c r="U709" s="27"/>
      <c r="V709" s="27"/>
      <c r="AE709" s="27"/>
      <c r="AF709" s="27"/>
      <c r="AG709" s="27"/>
      <c r="AH709" s="27"/>
      <c r="AI709" s="28"/>
      <c r="AJ709" s="29"/>
      <c r="AK709" s="29"/>
      <c r="AL709" s="27"/>
      <c r="AM709" s="27"/>
      <c r="AN709" s="27"/>
      <c r="AO709" s="27"/>
      <c r="AP709" s="27"/>
      <c r="AY709" s="27"/>
      <c r="AZ709" s="27"/>
      <c r="BA709" s="27"/>
      <c r="BB709" s="27"/>
      <c r="BC709" s="28"/>
      <c r="BD709" s="29"/>
      <c r="BE709" s="29"/>
      <c r="BF709" s="27"/>
      <c r="BG709" s="27"/>
      <c r="BH709" s="27"/>
      <c r="BI709" s="27"/>
      <c r="BJ709" s="27"/>
      <c r="BK709" s="27"/>
      <c r="BL709" s="27"/>
      <c r="BM709" s="27"/>
    </row>
    <row r="710">
      <c r="I710" s="27"/>
      <c r="J710" s="27"/>
      <c r="K710" s="27"/>
      <c r="L710" s="27"/>
      <c r="M710" s="28"/>
      <c r="N710" s="29"/>
      <c r="O710" s="29"/>
      <c r="P710" s="29"/>
      <c r="Q710" s="27"/>
      <c r="R710" s="27"/>
      <c r="S710" s="27"/>
      <c r="T710" s="27"/>
      <c r="U710" s="27"/>
      <c r="V710" s="27"/>
      <c r="AE710" s="27"/>
      <c r="AF710" s="27"/>
      <c r="AG710" s="27"/>
      <c r="AH710" s="27"/>
      <c r="AI710" s="28"/>
      <c r="AJ710" s="29"/>
      <c r="AK710" s="29"/>
      <c r="AL710" s="27"/>
      <c r="AM710" s="27"/>
      <c r="AN710" s="27"/>
      <c r="AO710" s="27"/>
      <c r="AP710" s="27"/>
      <c r="AY710" s="27"/>
      <c r="AZ710" s="27"/>
      <c r="BA710" s="27"/>
      <c r="BB710" s="27"/>
      <c r="BC710" s="28"/>
      <c r="BD710" s="29"/>
      <c r="BE710" s="29"/>
      <c r="BF710" s="27"/>
      <c r="BG710" s="27"/>
      <c r="BH710" s="27"/>
      <c r="BI710" s="27"/>
      <c r="BJ710" s="27"/>
      <c r="BK710" s="27"/>
      <c r="BL710" s="27"/>
      <c r="BM710" s="27"/>
    </row>
    <row r="711">
      <c r="I711" s="27"/>
      <c r="J711" s="27"/>
      <c r="K711" s="27"/>
      <c r="L711" s="27"/>
      <c r="M711" s="28"/>
      <c r="N711" s="29"/>
      <c r="O711" s="29"/>
      <c r="P711" s="29"/>
      <c r="Q711" s="27"/>
      <c r="R711" s="27"/>
      <c r="S711" s="27"/>
      <c r="T711" s="27"/>
      <c r="U711" s="27"/>
      <c r="V711" s="27"/>
      <c r="AE711" s="27"/>
      <c r="AF711" s="27"/>
      <c r="AG711" s="27"/>
      <c r="AH711" s="27"/>
      <c r="AI711" s="28"/>
      <c r="AJ711" s="29"/>
      <c r="AK711" s="29"/>
      <c r="AL711" s="27"/>
      <c r="AM711" s="27"/>
      <c r="AN711" s="27"/>
      <c r="AO711" s="27"/>
      <c r="AP711" s="27"/>
      <c r="AY711" s="27"/>
      <c r="AZ711" s="27"/>
      <c r="BA711" s="27"/>
      <c r="BB711" s="27"/>
      <c r="BC711" s="28"/>
      <c r="BD711" s="29"/>
      <c r="BE711" s="29"/>
      <c r="BF711" s="27"/>
      <c r="BG711" s="27"/>
      <c r="BH711" s="27"/>
      <c r="BI711" s="27"/>
      <c r="BJ711" s="27"/>
      <c r="BK711" s="27"/>
      <c r="BL711" s="27"/>
      <c r="BM711" s="27"/>
    </row>
    <row r="712">
      <c r="I712" s="27"/>
      <c r="J712" s="27"/>
      <c r="K712" s="27"/>
      <c r="L712" s="27"/>
      <c r="M712" s="28"/>
      <c r="N712" s="29"/>
      <c r="O712" s="29"/>
      <c r="P712" s="29"/>
      <c r="Q712" s="27"/>
      <c r="R712" s="27"/>
      <c r="S712" s="27"/>
      <c r="T712" s="27"/>
      <c r="U712" s="27"/>
      <c r="V712" s="27"/>
      <c r="AE712" s="27"/>
      <c r="AF712" s="27"/>
      <c r="AG712" s="27"/>
      <c r="AH712" s="27"/>
      <c r="AI712" s="28"/>
      <c r="AJ712" s="29"/>
      <c r="AK712" s="29"/>
      <c r="AL712" s="27"/>
      <c r="AM712" s="27"/>
      <c r="AN712" s="27"/>
      <c r="AO712" s="27"/>
      <c r="AP712" s="27"/>
      <c r="AY712" s="27"/>
      <c r="AZ712" s="27"/>
      <c r="BA712" s="27"/>
      <c r="BB712" s="27"/>
      <c r="BC712" s="28"/>
      <c r="BD712" s="29"/>
      <c r="BE712" s="29"/>
      <c r="BF712" s="27"/>
      <c r="BG712" s="27"/>
      <c r="BH712" s="27"/>
      <c r="BI712" s="27"/>
      <c r="BJ712" s="27"/>
      <c r="BK712" s="27"/>
      <c r="BL712" s="27"/>
      <c r="BM712" s="27"/>
    </row>
    <row r="713">
      <c r="I713" s="27"/>
      <c r="J713" s="27"/>
      <c r="K713" s="27"/>
      <c r="L713" s="27"/>
      <c r="M713" s="28"/>
      <c r="N713" s="29"/>
      <c r="O713" s="29"/>
      <c r="P713" s="29"/>
      <c r="Q713" s="27"/>
      <c r="R713" s="27"/>
      <c r="S713" s="27"/>
      <c r="T713" s="27"/>
      <c r="U713" s="27"/>
      <c r="V713" s="27"/>
      <c r="AE713" s="27"/>
      <c r="AF713" s="27"/>
      <c r="AG713" s="27"/>
      <c r="AH713" s="27"/>
      <c r="AI713" s="28"/>
      <c r="AJ713" s="29"/>
      <c r="AK713" s="29"/>
      <c r="AL713" s="27"/>
      <c r="AM713" s="27"/>
      <c r="AN713" s="27"/>
      <c r="AO713" s="27"/>
      <c r="AP713" s="27"/>
      <c r="AY713" s="27"/>
      <c r="AZ713" s="27"/>
      <c r="BA713" s="27"/>
      <c r="BB713" s="27"/>
      <c r="BC713" s="28"/>
      <c r="BD713" s="29"/>
      <c r="BE713" s="29"/>
      <c r="BF713" s="27"/>
      <c r="BG713" s="27"/>
      <c r="BH713" s="27"/>
      <c r="BI713" s="27"/>
      <c r="BJ713" s="27"/>
      <c r="BK713" s="27"/>
      <c r="BL713" s="27"/>
      <c r="BM713" s="27"/>
    </row>
    <row r="714">
      <c r="I714" s="27"/>
      <c r="J714" s="27"/>
      <c r="K714" s="27"/>
      <c r="L714" s="27"/>
      <c r="M714" s="28"/>
      <c r="N714" s="29"/>
      <c r="O714" s="29"/>
      <c r="P714" s="29"/>
      <c r="Q714" s="27"/>
      <c r="R714" s="27"/>
      <c r="S714" s="27"/>
      <c r="T714" s="27"/>
      <c r="U714" s="27"/>
      <c r="V714" s="27"/>
      <c r="AE714" s="27"/>
      <c r="AF714" s="27"/>
      <c r="AG714" s="27"/>
      <c r="AH714" s="27"/>
      <c r="AI714" s="28"/>
      <c r="AJ714" s="29"/>
      <c r="AK714" s="29"/>
      <c r="AL714" s="27"/>
      <c r="AM714" s="27"/>
      <c r="AN714" s="27"/>
      <c r="AO714" s="27"/>
      <c r="AP714" s="27"/>
      <c r="AY714" s="27"/>
      <c r="AZ714" s="27"/>
      <c r="BA714" s="27"/>
      <c r="BB714" s="27"/>
      <c r="BC714" s="28"/>
      <c r="BD714" s="29"/>
      <c r="BE714" s="29"/>
      <c r="BF714" s="27"/>
      <c r="BG714" s="27"/>
      <c r="BH714" s="27"/>
      <c r="BI714" s="27"/>
      <c r="BJ714" s="27"/>
      <c r="BK714" s="27"/>
      <c r="BL714" s="27"/>
      <c r="BM714" s="27"/>
    </row>
    <row r="715">
      <c r="I715" s="27"/>
      <c r="J715" s="27"/>
      <c r="K715" s="27"/>
      <c r="L715" s="27"/>
      <c r="M715" s="28"/>
      <c r="N715" s="29"/>
      <c r="O715" s="29"/>
      <c r="P715" s="29"/>
      <c r="Q715" s="27"/>
      <c r="R715" s="27"/>
      <c r="S715" s="27"/>
      <c r="T715" s="27"/>
      <c r="U715" s="27"/>
      <c r="V715" s="27"/>
      <c r="AE715" s="27"/>
      <c r="AF715" s="27"/>
      <c r="AG715" s="27"/>
      <c r="AH715" s="27"/>
      <c r="AI715" s="28"/>
      <c r="AJ715" s="29"/>
      <c r="AK715" s="29"/>
      <c r="AL715" s="27"/>
      <c r="AM715" s="27"/>
      <c r="AN715" s="27"/>
      <c r="AO715" s="27"/>
      <c r="AP715" s="27"/>
      <c r="AY715" s="27"/>
      <c r="AZ715" s="27"/>
      <c r="BA715" s="27"/>
      <c r="BB715" s="27"/>
      <c r="BC715" s="28"/>
      <c r="BD715" s="29"/>
      <c r="BE715" s="29"/>
      <c r="BF715" s="27"/>
      <c r="BG715" s="27"/>
      <c r="BH715" s="27"/>
      <c r="BI715" s="27"/>
      <c r="BJ715" s="27"/>
      <c r="BK715" s="27"/>
      <c r="BL715" s="27"/>
      <c r="BM715" s="27"/>
    </row>
    <row r="716">
      <c r="I716" s="27"/>
      <c r="J716" s="27"/>
      <c r="K716" s="27"/>
      <c r="L716" s="27"/>
      <c r="M716" s="28"/>
      <c r="N716" s="29"/>
      <c r="O716" s="29"/>
      <c r="P716" s="29"/>
      <c r="Q716" s="27"/>
      <c r="R716" s="27"/>
      <c r="S716" s="27"/>
      <c r="T716" s="27"/>
      <c r="U716" s="27"/>
      <c r="V716" s="27"/>
      <c r="AE716" s="27"/>
      <c r="AF716" s="27"/>
      <c r="AG716" s="27"/>
      <c r="AH716" s="27"/>
      <c r="AI716" s="28"/>
      <c r="AJ716" s="29"/>
      <c r="AK716" s="29"/>
      <c r="AL716" s="27"/>
      <c r="AM716" s="27"/>
      <c r="AN716" s="27"/>
      <c r="AO716" s="27"/>
      <c r="AP716" s="27"/>
      <c r="AY716" s="27"/>
      <c r="AZ716" s="27"/>
      <c r="BA716" s="27"/>
      <c r="BB716" s="27"/>
      <c r="BC716" s="28"/>
      <c r="BD716" s="29"/>
      <c r="BE716" s="29"/>
      <c r="BF716" s="27"/>
      <c r="BG716" s="27"/>
      <c r="BH716" s="27"/>
      <c r="BI716" s="27"/>
      <c r="BJ716" s="27"/>
      <c r="BK716" s="27"/>
      <c r="BL716" s="27"/>
      <c r="BM716" s="27"/>
    </row>
    <row r="717">
      <c r="I717" s="27"/>
      <c r="J717" s="27"/>
      <c r="K717" s="27"/>
      <c r="L717" s="27"/>
      <c r="M717" s="28"/>
      <c r="N717" s="29"/>
      <c r="O717" s="29"/>
      <c r="P717" s="29"/>
      <c r="Q717" s="27"/>
      <c r="R717" s="27"/>
      <c r="S717" s="27"/>
      <c r="T717" s="27"/>
      <c r="U717" s="27"/>
      <c r="V717" s="27"/>
      <c r="AE717" s="27"/>
      <c r="AF717" s="27"/>
      <c r="AG717" s="27"/>
      <c r="AH717" s="27"/>
      <c r="AI717" s="28"/>
      <c r="AJ717" s="29"/>
      <c r="AK717" s="29"/>
      <c r="AL717" s="27"/>
      <c r="AM717" s="27"/>
      <c r="AN717" s="27"/>
      <c r="AO717" s="27"/>
      <c r="AP717" s="27"/>
      <c r="AY717" s="27"/>
      <c r="AZ717" s="27"/>
      <c r="BA717" s="27"/>
      <c r="BB717" s="27"/>
      <c r="BC717" s="28"/>
      <c r="BD717" s="29"/>
      <c r="BE717" s="29"/>
      <c r="BF717" s="27"/>
      <c r="BG717" s="27"/>
      <c r="BH717" s="27"/>
      <c r="BI717" s="27"/>
      <c r="BJ717" s="27"/>
      <c r="BK717" s="27"/>
      <c r="BL717" s="27"/>
      <c r="BM717" s="27"/>
    </row>
    <row r="718">
      <c r="I718" s="27"/>
      <c r="J718" s="27"/>
      <c r="K718" s="27"/>
      <c r="L718" s="27"/>
      <c r="M718" s="28"/>
      <c r="N718" s="29"/>
      <c r="O718" s="29"/>
      <c r="P718" s="29"/>
      <c r="Q718" s="27"/>
      <c r="R718" s="27"/>
      <c r="S718" s="27"/>
      <c r="T718" s="27"/>
      <c r="U718" s="27"/>
      <c r="V718" s="27"/>
      <c r="AE718" s="27"/>
      <c r="AF718" s="27"/>
      <c r="AG718" s="27"/>
      <c r="AH718" s="27"/>
      <c r="AI718" s="28"/>
      <c r="AJ718" s="29"/>
      <c r="AK718" s="29"/>
      <c r="AL718" s="27"/>
      <c r="AM718" s="27"/>
      <c r="AN718" s="27"/>
      <c r="AO718" s="27"/>
      <c r="AP718" s="27"/>
      <c r="AY718" s="27"/>
      <c r="AZ718" s="27"/>
      <c r="BA718" s="27"/>
      <c r="BB718" s="27"/>
      <c r="BC718" s="28"/>
      <c r="BD718" s="29"/>
      <c r="BE718" s="29"/>
      <c r="BF718" s="27"/>
      <c r="BG718" s="27"/>
      <c r="BH718" s="27"/>
      <c r="BI718" s="27"/>
      <c r="BJ718" s="27"/>
      <c r="BK718" s="27"/>
      <c r="BL718" s="27"/>
      <c r="BM718" s="27"/>
    </row>
    <row r="719">
      <c r="I719" s="27"/>
      <c r="J719" s="27"/>
      <c r="K719" s="27"/>
      <c r="L719" s="27"/>
      <c r="M719" s="28"/>
      <c r="N719" s="29"/>
      <c r="O719" s="29"/>
      <c r="P719" s="29"/>
      <c r="Q719" s="27"/>
      <c r="R719" s="27"/>
      <c r="S719" s="27"/>
      <c r="T719" s="27"/>
      <c r="U719" s="27"/>
      <c r="V719" s="27"/>
      <c r="AE719" s="27"/>
      <c r="AF719" s="27"/>
      <c r="AG719" s="27"/>
      <c r="AH719" s="27"/>
      <c r="AI719" s="28"/>
      <c r="AJ719" s="29"/>
      <c r="AK719" s="29"/>
      <c r="AL719" s="27"/>
      <c r="AM719" s="27"/>
      <c r="AN719" s="27"/>
      <c r="AO719" s="27"/>
      <c r="AP719" s="27"/>
      <c r="AY719" s="27"/>
      <c r="AZ719" s="27"/>
      <c r="BA719" s="27"/>
      <c r="BB719" s="27"/>
      <c r="BC719" s="28"/>
      <c r="BD719" s="29"/>
      <c r="BE719" s="29"/>
      <c r="BF719" s="27"/>
      <c r="BG719" s="27"/>
      <c r="BH719" s="27"/>
      <c r="BI719" s="27"/>
      <c r="BJ719" s="27"/>
      <c r="BK719" s="27"/>
      <c r="BL719" s="27"/>
      <c r="BM719" s="27"/>
    </row>
    <row r="720">
      <c r="I720" s="27"/>
      <c r="J720" s="27"/>
      <c r="K720" s="27"/>
      <c r="L720" s="27"/>
      <c r="M720" s="28"/>
      <c r="N720" s="29"/>
      <c r="O720" s="29"/>
      <c r="P720" s="29"/>
      <c r="Q720" s="27"/>
      <c r="R720" s="27"/>
      <c r="S720" s="27"/>
      <c r="T720" s="27"/>
      <c r="U720" s="27"/>
      <c r="V720" s="27"/>
      <c r="AE720" s="27"/>
      <c r="AF720" s="27"/>
      <c r="AG720" s="27"/>
      <c r="AH720" s="27"/>
      <c r="AI720" s="28"/>
      <c r="AJ720" s="29"/>
      <c r="AK720" s="29"/>
      <c r="AL720" s="27"/>
      <c r="AM720" s="27"/>
      <c r="AN720" s="27"/>
      <c r="AO720" s="27"/>
      <c r="AP720" s="27"/>
      <c r="AY720" s="27"/>
      <c r="AZ720" s="27"/>
      <c r="BA720" s="27"/>
      <c r="BB720" s="27"/>
      <c r="BC720" s="28"/>
      <c r="BD720" s="29"/>
      <c r="BE720" s="29"/>
      <c r="BF720" s="27"/>
      <c r="BG720" s="27"/>
      <c r="BH720" s="27"/>
      <c r="BI720" s="27"/>
      <c r="BJ720" s="27"/>
      <c r="BK720" s="27"/>
      <c r="BL720" s="27"/>
      <c r="BM720" s="27"/>
    </row>
    <row r="721">
      <c r="I721" s="27"/>
      <c r="J721" s="27"/>
      <c r="K721" s="27"/>
      <c r="L721" s="27"/>
      <c r="M721" s="28"/>
      <c r="N721" s="29"/>
      <c r="O721" s="29"/>
      <c r="P721" s="29"/>
      <c r="Q721" s="27"/>
      <c r="R721" s="27"/>
      <c r="S721" s="27"/>
      <c r="T721" s="27"/>
      <c r="U721" s="27"/>
      <c r="V721" s="27"/>
      <c r="AE721" s="27"/>
      <c r="AF721" s="27"/>
      <c r="AG721" s="27"/>
      <c r="AH721" s="27"/>
      <c r="AI721" s="28"/>
      <c r="AJ721" s="29"/>
      <c r="AK721" s="29"/>
      <c r="AL721" s="27"/>
      <c r="AM721" s="27"/>
      <c r="AN721" s="27"/>
      <c r="AO721" s="27"/>
      <c r="AP721" s="27"/>
      <c r="AY721" s="27"/>
      <c r="AZ721" s="27"/>
      <c r="BA721" s="27"/>
      <c r="BB721" s="27"/>
      <c r="BC721" s="28"/>
      <c r="BD721" s="29"/>
      <c r="BE721" s="29"/>
      <c r="BF721" s="27"/>
      <c r="BG721" s="27"/>
      <c r="BH721" s="27"/>
      <c r="BI721" s="27"/>
      <c r="BJ721" s="27"/>
      <c r="BK721" s="27"/>
      <c r="BL721" s="27"/>
      <c r="BM721" s="27"/>
    </row>
    <row r="722">
      <c r="I722" s="27"/>
      <c r="J722" s="27"/>
      <c r="K722" s="27"/>
      <c r="L722" s="27"/>
      <c r="M722" s="28"/>
      <c r="N722" s="29"/>
      <c r="O722" s="29"/>
      <c r="P722" s="29"/>
      <c r="Q722" s="27"/>
      <c r="R722" s="27"/>
      <c r="S722" s="27"/>
      <c r="T722" s="27"/>
      <c r="U722" s="27"/>
      <c r="V722" s="27"/>
      <c r="AE722" s="27"/>
      <c r="AF722" s="27"/>
      <c r="AG722" s="27"/>
      <c r="AH722" s="27"/>
      <c r="AI722" s="28"/>
      <c r="AJ722" s="29"/>
      <c r="AK722" s="29"/>
      <c r="AL722" s="27"/>
      <c r="AM722" s="27"/>
      <c r="AN722" s="27"/>
      <c r="AO722" s="27"/>
      <c r="AP722" s="27"/>
      <c r="AY722" s="27"/>
      <c r="AZ722" s="27"/>
      <c r="BA722" s="27"/>
      <c r="BB722" s="27"/>
      <c r="BC722" s="28"/>
      <c r="BD722" s="29"/>
      <c r="BE722" s="29"/>
      <c r="BF722" s="27"/>
      <c r="BG722" s="27"/>
      <c r="BH722" s="27"/>
      <c r="BI722" s="27"/>
      <c r="BJ722" s="27"/>
      <c r="BK722" s="27"/>
      <c r="BL722" s="27"/>
      <c r="BM722" s="27"/>
    </row>
    <row r="723">
      <c r="I723" s="27"/>
      <c r="J723" s="27"/>
      <c r="K723" s="27"/>
      <c r="L723" s="27"/>
      <c r="M723" s="28"/>
      <c r="N723" s="29"/>
      <c r="O723" s="29"/>
      <c r="P723" s="29"/>
      <c r="Q723" s="27"/>
      <c r="R723" s="27"/>
      <c r="S723" s="27"/>
      <c r="T723" s="27"/>
      <c r="U723" s="27"/>
      <c r="V723" s="27"/>
      <c r="AE723" s="27"/>
      <c r="AF723" s="27"/>
      <c r="AG723" s="27"/>
      <c r="AH723" s="27"/>
      <c r="AI723" s="28"/>
      <c r="AJ723" s="29"/>
      <c r="AK723" s="29"/>
      <c r="AL723" s="27"/>
      <c r="AM723" s="27"/>
      <c r="AN723" s="27"/>
      <c r="AO723" s="27"/>
      <c r="AP723" s="27"/>
      <c r="AY723" s="27"/>
      <c r="AZ723" s="27"/>
      <c r="BA723" s="27"/>
      <c r="BB723" s="27"/>
      <c r="BC723" s="28"/>
      <c r="BD723" s="29"/>
      <c r="BE723" s="29"/>
      <c r="BF723" s="27"/>
      <c r="BG723" s="27"/>
      <c r="BH723" s="27"/>
      <c r="BI723" s="27"/>
      <c r="BJ723" s="27"/>
      <c r="BK723" s="27"/>
      <c r="BL723" s="27"/>
      <c r="BM723" s="27"/>
    </row>
    <row r="724">
      <c r="I724" s="27"/>
      <c r="J724" s="27"/>
      <c r="K724" s="27"/>
      <c r="L724" s="27"/>
      <c r="M724" s="28"/>
      <c r="N724" s="29"/>
      <c r="O724" s="29"/>
      <c r="P724" s="29"/>
      <c r="Q724" s="27"/>
      <c r="R724" s="27"/>
      <c r="S724" s="27"/>
      <c r="T724" s="27"/>
      <c r="U724" s="27"/>
      <c r="V724" s="27"/>
      <c r="AE724" s="27"/>
      <c r="AF724" s="27"/>
      <c r="AG724" s="27"/>
      <c r="AH724" s="27"/>
      <c r="AI724" s="28"/>
      <c r="AJ724" s="29"/>
      <c r="AK724" s="29"/>
      <c r="AL724" s="27"/>
      <c r="AM724" s="27"/>
      <c r="AN724" s="27"/>
      <c r="AO724" s="27"/>
      <c r="AP724" s="27"/>
      <c r="AY724" s="27"/>
      <c r="AZ724" s="27"/>
      <c r="BA724" s="27"/>
      <c r="BB724" s="27"/>
      <c r="BC724" s="28"/>
      <c r="BD724" s="29"/>
      <c r="BE724" s="29"/>
      <c r="BF724" s="27"/>
      <c r="BG724" s="27"/>
      <c r="BH724" s="27"/>
      <c r="BI724" s="27"/>
      <c r="BJ724" s="27"/>
      <c r="BK724" s="27"/>
      <c r="BL724" s="27"/>
      <c r="BM724" s="27"/>
    </row>
    <row r="725">
      <c r="I725" s="27"/>
      <c r="J725" s="27"/>
      <c r="K725" s="27"/>
      <c r="L725" s="27"/>
      <c r="M725" s="28"/>
      <c r="N725" s="29"/>
      <c r="O725" s="29"/>
      <c r="P725" s="29"/>
      <c r="Q725" s="27"/>
      <c r="R725" s="27"/>
      <c r="S725" s="27"/>
      <c r="T725" s="27"/>
      <c r="U725" s="27"/>
      <c r="V725" s="27"/>
      <c r="AE725" s="27"/>
      <c r="AF725" s="27"/>
      <c r="AG725" s="27"/>
      <c r="AH725" s="27"/>
      <c r="AI725" s="28"/>
      <c r="AJ725" s="29"/>
      <c r="AK725" s="29"/>
      <c r="AL725" s="27"/>
      <c r="AM725" s="27"/>
      <c r="AN725" s="27"/>
      <c r="AO725" s="27"/>
      <c r="AP725" s="27"/>
      <c r="AY725" s="27"/>
      <c r="AZ725" s="27"/>
      <c r="BA725" s="27"/>
      <c r="BB725" s="27"/>
      <c r="BC725" s="28"/>
      <c r="BD725" s="29"/>
      <c r="BE725" s="29"/>
      <c r="BF725" s="27"/>
      <c r="BG725" s="27"/>
      <c r="BH725" s="27"/>
      <c r="BI725" s="27"/>
      <c r="BJ725" s="27"/>
      <c r="BK725" s="27"/>
      <c r="BL725" s="27"/>
      <c r="BM725" s="27"/>
    </row>
    <row r="726">
      <c r="I726" s="27"/>
      <c r="J726" s="27"/>
      <c r="K726" s="27"/>
      <c r="L726" s="27"/>
      <c r="M726" s="28"/>
      <c r="N726" s="29"/>
      <c r="O726" s="29"/>
      <c r="P726" s="29"/>
      <c r="Q726" s="27"/>
      <c r="R726" s="27"/>
      <c r="S726" s="27"/>
      <c r="T726" s="27"/>
      <c r="U726" s="27"/>
      <c r="V726" s="27"/>
      <c r="AE726" s="27"/>
      <c r="AF726" s="27"/>
      <c r="AG726" s="27"/>
      <c r="AH726" s="27"/>
      <c r="AI726" s="28"/>
      <c r="AJ726" s="29"/>
      <c r="AK726" s="29"/>
      <c r="AL726" s="27"/>
      <c r="AM726" s="27"/>
      <c r="AN726" s="27"/>
      <c r="AO726" s="27"/>
      <c r="AP726" s="27"/>
      <c r="AY726" s="27"/>
      <c r="AZ726" s="27"/>
      <c r="BA726" s="27"/>
      <c r="BB726" s="27"/>
      <c r="BC726" s="28"/>
      <c r="BD726" s="29"/>
      <c r="BE726" s="29"/>
      <c r="BF726" s="27"/>
      <c r="BG726" s="27"/>
      <c r="BH726" s="27"/>
      <c r="BI726" s="27"/>
      <c r="BJ726" s="27"/>
      <c r="BK726" s="27"/>
      <c r="BL726" s="27"/>
      <c r="BM726" s="27"/>
    </row>
    <row r="727">
      <c r="I727" s="27"/>
      <c r="J727" s="27"/>
      <c r="K727" s="27"/>
      <c r="L727" s="27"/>
      <c r="M727" s="28"/>
      <c r="N727" s="29"/>
      <c r="O727" s="29"/>
      <c r="P727" s="29"/>
      <c r="Q727" s="27"/>
      <c r="R727" s="27"/>
      <c r="S727" s="27"/>
      <c r="T727" s="27"/>
      <c r="U727" s="27"/>
      <c r="V727" s="27"/>
      <c r="AE727" s="27"/>
      <c r="AF727" s="27"/>
      <c r="AG727" s="27"/>
      <c r="AH727" s="27"/>
      <c r="AI727" s="28"/>
      <c r="AJ727" s="29"/>
      <c r="AK727" s="29"/>
      <c r="AL727" s="27"/>
      <c r="AM727" s="27"/>
      <c r="AN727" s="27"/>
      <c r="AO727" s="27"/>
      <c r="AP727" s="27"/>
      <c r="AY727" s="27"/>
      <c r="AZ727" s="27"/>
      <c r="BA727" s="27"/>
      <c r="BB727" s="27"/>
      <c r="BC727" s="28"/>
      <c r="BD727" s="29"/>
      <c r="BE727" s="29"/>
      <c r="BF727" s="27"/>
      <c r="BG727" s="27"/>
      <c r="BH727" s="27"/>
      <c r="BI727" s="27"/>
      <c r="BJ727" s="27"/>
      <c r="BK727" s="27"/>
      <c r="BL727" s="27"/>
      <c r="BM727" s="27"/>
    </row>
    <row r="728">
      <c r="I728" s="27"/>
      <c r="J728" s="27"/>
      <c r="K728" s="27"/>
      <c r="L728" s="27"/>
      <c r="M728" s="28"/>
      <c r="N728" s="29"/>
      <c r="O728" s="29"/>
      <c r="P728" s="29"/>
      <c r="Q728" s="27"/>
      <c r="R728" s="27"/>
      <c r="S728" s="27"/>
      <c r="T728" s="27"/>
      <c r="U728" s="27"/>
      <c r="V728" s="27"/>
      <c r="AE728" s="27"/>
      <c r="AF728" s="27"/>
      <c r="AG728" s="27"/>
      <c r="AH728" s="27"/>
      <c r="AI728" s="28"/>
      <c r="AJ728" s="29"/>
      <c r="AK728" s="29"/>
      <c r="AL728" s="27"/>
      <c r="AM728" s="27"/>
      <c r="AN728" s="27"/>
      <c r="AO728" s="27"/>
      <c r="AP728" s="27"/>
      <c r="AY728" s="27"/>
      <c r="AZ728" s="27"/>
      <c r="BA728" s="27"/>
      <c r="BB728" s="27"/>
      <c r="BC728" s="28"/>
      <c r="BD728" s="29"/>
      <c r="BE728" s="29"/>
      <c r="BF728" s="27"/>
      <c r="BG728" s="27"/>
      <c r="BH728" s="27"/>
      <c r="BI728" s="27"/>
      <c r="BJ728" s="27"/>
      <c r="BK728" s="27"/>
      <c r="BL728" s="27"/>
      <c r="BM728" s="27"/>
    </row>
    <row r="729">
      <c r="I729" s="27"/>
      <c r="J729" s="27"/>
      <c r="K729" s="27"/>
      <c r="L729" s="27"/>
      <c r="M729" s="28"/>
      <c r="N729" s="29"/>
      <c r="O729" s="29"/>
      <c r="P729" s="29"/>
      <c r="Q729" s="27"/>
      <c r="R729" s="27"/>
      <c r="S729" s="27"/>
      <c r="T729" s="27"/>
      <c r="U729" s="27"/>
      <c r="V729" s="27"/>
      <c r="AE729" s="27"/>
      <c r="AF729" s="27"/>
      <c r="AG729" s="27"/>
      <c r="AH729" s="27"/>
      <c r="AI729" s="28"/>
      <c r="AJ729" s="29"/>
      <c r="AK729" s="29"/>
      <c r="AL729" s="27"/>
      <c r="AM729" s="27"/>
      <c r="AN729" s="27"/>
      <c r="AO729" s="27"/>
      <c r="AP729" s="27"/>
      <c r="AY729" s="27"/>
      <c r="AZ729" s="27"/>
      <c r="BA729" s="27"/>
      <c r="BB729" s="27"/>
      <c r="BC729" s="28"/>
      <c r="BD729" s="29"/>
      <c r="BE729" s="29"/>
      <c r="BF729" s="27"/>
      <c r="BG729" s="27"/>
      <c r="BH729" s="27"/>
      <c r="BI729" s="27"/>
      <c r="BJ729" s="27"/>
      <c r="BK729" s="27"/>
      <c r="BL729" s="27"/>
      <c r="BM729" s="27"/>
    </row>
    <row r="730">
      <c r="I730" s="27"/>
      <c r="J730" s="27"/>
      <c r="K730" s="27"/>
      <c r="L730" s="27"/>
      <c r="M730" s="28"/>
      <c r="N730" s="29"/>
      <c r="O730" s="29"/>
      <c r="P730" s="29"/>
      <c r="Q730" s="27"/>
      <c r="R730" s="27"/>
      <c r="S730" s="27"/>
      <c r="T730" s="27"/>
      <c r="U730" s="27"/>
      <c r="V730" s="27"/>
      <c r="AE730" s="27"/>
      <c r="AF730" s="27"/>
      <c r="AG730" s="27"/>
      <c r="AH730" s="27"/>
      <c r="AI730" s="28"/>
      <c r="AJ730" s="29"/>
      <c r="AK730" s="29"/>
      <c r="AL730" s="27"/>
      <c r="AM730" s="27"/>
      <c r="AN730" s="27"/>
      <c r="AO730" s="27"/>
      <c r="AP730" s="27"/>
      <c r="AY730" s="27"/>
      <c r="AZ730" s="27"/>
      <c r="BA730" s="27"/>
      <c r="BB730" s="27"/>
      <c r="BC730" s="28"/>
      <c r="BD730" s="29"/>
      <c r="BE730" s="29"/>
      <c r="BF730" s="27"/>
      <c r="BG730" s="27"/>
      <c r="BH730" s="27"/>
      <c r="BI730" s="27"/>
      <c r="BJ730" s="27"/>
      <c r="BK730" s="27"/>
      <c r="BL730" s="27"/>
      <c r="BM730" s="27"/>
    </row>
    <row r="731">
      <c r="I731" s="27"/>
      <c r="J731" s="27"/>
      <c r="K731" s="27"/>
      <c r="L731" s="27"/>
      <c r="M731" s="28"/>
      <c r="N731" s="29"/>
      <c r="O731" s="29"/>
      <c r="P731" s="29"/>
      <c r="Q731" s="27"/>
      <c r="R731" s="27"/>
      <c r="S731" s="27"/>
      <c r="T731" s="27"/>
      <c r="U731" s="27"/>
      <c r="V731" s="27"/>
      <c r="AE731" s="27"/>
      <c r="AF731" s="27"/>
      <c r="AG731" s="27"/>
      <c r="AH731" s="27"/>
      <c r="AI731" s="28"/>
      <c r="AJ731" s="29"/>
      <c r="AK731" s="29"/>
      <c r="AL731" s="27"/>
      <c r="AM731" s="27"/>
      <c r="AN731" s="27"/>
      <c r="AO731" s="27"/>
      <c r="AP731" s="27"/>
      <c r="AY731" s="27"/>
      <c r="AZ731" s="27"/>
      <c r="BA731" s="27"/>
      <c r="BB731" s="27"/>
      <c r="BC731" s="28"/>
      <c r="BD731" s="29"/>
      <c r="BE731" s="29"/>
      <c r="BF731" s="27"/>
      <c r="BG731" s="27"/>
      <c r="BH731" s="27"/>
      <c r="BI731" s="27"/>
      <c r="BJ731" s="27"/>
      <c r="BK731" s="27"/>
      <c r="BL731" s="27"/>
      <c r="BM731" s="27"/>
    </row>
    <row r="732">
      <c r="I732" s="27"/>
      <c r="J732" s="27"/>
      <c r="K732" s="27"/>
      <c r="L732" s="27"/>
      <c r="M732" s="28"/>
      <c r="N732" s="29"/>
      <c r="O732" s="29"/>
      <c r="P732" s="29"/>
      <c r="Q732" s="27"/>
      <c r="R732" s="27"/>
      <c r="S732" s="27"/>
      <c r="T732" s="27"/>
      <c r="U732" s="27"/>
      <c r="V732" s="27"/>
      <c r="AE732" s="27"/>
      <c r="AF732" s="27"/>
      <c r="AG732" s="27"/>
      <c r="AH732" s="27"/>
      <c r="AI732" s="28"/>
      <c r="AJ732" s="29"/>
      <c r="AK732" s="29"/>
      <c r="AL732" s="27"/>
      <c r="AM732" s="27"/>
      <c r="AN732" s="27"/>
      <c r="AO732" s="27"/>
      <c r="AP732" s="27"/>
      <c r="AY732" s="27"/>
      <c r="AZ732" s="27"/>
      <c r="BA732" s="27"/>
      <c r="BB732" s="27"/>
      <c r="BC732" s="28"/>
      <c r="BD732" s="29"/>
      <c r="BE732" s="29"/>
      <c r="BF732" s="27"/>
      <c r="BG732" s="27"/>
      <c r="BH732" s="27"/>
      <c r="BI732" s="27"/>
      <c r="BJ732" s="27"/>
      <c r="BK732" s="27"/>
      <c r="BL732" s="27"/>
      <c r="BM732" s="27"/>
    </row>
    <row r="733">
      <c r="I733" s="27"/>
      <c r="J733" s="27"/>
      <c r="K733" s="27"/>
      <c r="L733" s="27"/>
      <c r="M733" s="28"/>
      <c r="N733" s="29"/>
      <c r="O733" s="29"/>
      <c r="P733" s="29"/>
      <c r="Q733" s="27"/>
      <c r="R733" s="27"/>
      <c r="S733" s="27"/>
      <c r="T733" s="27"/>
      <c r="U733" s="27"/>
      <c r="V733" s="27"/>
      <c r="AE733" s="27"/>
      <c r="AF733" s="27"/>
      <c r="AG733" s="27"/>
      <c r="AH733" s="27"/>
      <c r="AI733" s="28"/>
      <c r="AJ733" s="29"/>
      <c r="AK733" s="29"/>
      <c r="AL733" s="27"/>
      <c r="AM733" s="27"/>
      <c r="AN733" s="27"/>
      <c r="AO733" s="27"/>
      <c r="AP733" s="27"/>
      <c r="AY733" s="27"/>
      <c r="AZ733" s="27"/>
      <c r="BA733" s="27"/>
      <c r="BB733" s="27"/>
      <c r="BC733" s="28"/>
      <c r="BD733" s="29"/>
      <c r="BE733" s="29"/>
      <c r="BF733" s="27"/>
      <c r="BG733" s="27"/>
      <c r="BH733" s="27"/>
      <c r="BI733" s="27"/>
      <c r="BJ733" s="27"/>
      <c r="BK733" s="27"/>
      <c r="BL733" s="27"/>
      <c r="BM733" s="27"/>
    </row>
    <row r="734">
      <c r="I734" s="27"/>
      <c r="J734" s="27"/>
      <c r="K734" s="27"/>
      <c r="L734" s="27"/>
      <c r="M734" s="28"/>
      <c r="N734" s="29"/>
      <c r="O734" s="29"/>
      <c r="P734" s="29"/>
      <c r="Q734" s="27"/>
      <c r="R734" s="27"/>
      <c r="S734" s="27"/>
      <c r="T734" s="27"/>
      <c r="U734" s="27"/>
      <c r="V734" s="27"/>
      <c r="AE734" s="27"/>
      <c r="AF734" s="27"/>
      <c r="AG734" s="27"/>
      <c r="AH734" s="27"/>
      <c r="AI734" s="28"/>
      <c r="AJ734" s="29"/>
      <c r="AK734" s="29"/>
      <c r="AL734" s="27"/>
      <c r="AM734" s="27"/>
      <c r="AN734" s="27"/>
      <c r="AO734" s="27"/>
      <c r="AP734" s="27"/>
      <c r="AY734" s="27"/>
      <c r="AZ734" s="27"/>
      <c r="BA734" s="27"/>
      <c r="BB734" s="27"/>
      <c r="BC734" s="28"/>
      <c r="BD734" s="29"/>
      <c r="BE734" s="29"/>
      <c r="BF734" s="27"/>
      <c r="BG734" s="27"/>
      <c r="BH734" s="27"/>
      <c r="BI734" s="27"/>
      <c r="BJ734" s="27"/>
      <c r="BK734" s="27"/>
      <c r="BL734" s="27"/>
      <c r="BM734" s="27"/>
    </row>
    <row r="735">
      <c r="I735" s="27"/>
      <c r="J735" s="27"/>
      <c r="K735" s="27"/>
      <c r="L735" s="27"/>
      <c r="M735" s="28"/>
      <c r="N735" s="29"/>
      <c r="O735" s="29"/>
      <c r="P735" s="29"/>
      <c r="Q735" s="27"/>
      <c r="R735" s="27"/>
      <c r="S735" s="27"/>
      <c r="T735" s="27"/>
      <c r="U735" s="27"/>
      <c r="V735" s="27"/>
      <c r="AE735" s="27"/>
      <c r="AF735" s="27"/>
      <c r="AG735" s="27"/>
      <c r="AH735" s="27"/>
      <c r="AI735" s="28"/>
      <c r="AJ735" s="29"/>
      <c r="AK735" s="29"/>
      <c r="AL735" s="27"/>
      <c r="AM735" s="27"/>
      <c r="AN735" s="27"/>
      <c r="AO735" s="27"/>
      <c r="AP735" s="27"/>
      <c r="AY735" s="27"/>
      <c r="AZ735" s="27"/>
      <c r="BA735" s="27"/>
      <c r="BB735" s="27"/>
      <c r="BC735" s="28"/>
      <c r="BD735" s="29"/>
      <c r="BE735" s="29"/>
      <c r="BF735" s="27"/>
      <c r="BG735" s="27"/>
      <c r="BH735" s="27"/>
      <c r="BI735" s="27"/>
      <c r="BJ735" s="27"/>
      <c r="BK735" s="27"/>
      <c r="BL735" s="27"/>
      <c r="BM735" s="27"/>
    </row>
    <row r="736">
      <c r="I736" s="27"/>
      <c r="J736" s="27"/>
      <c r="K736" s="27"/>
      <c r="L736" s="27"/>
      <c r="M736" s="28"/>
      <c r="N736" s="29"/>
      <c r="O736" s="29"/>
      <c r="P736" s="29"/>
      <c r="Q736" s="27"/>
      <c r="R736" s="27"/>
      <c r="S736" s="27"/>
      <c r="T736" s="27"/>
      <c r="U736" s="27"/>
      <c r="V736" s="27"/>
      <c r="AE736" s="27"/>
      <c r="AF736" s="27"/>
      <c r="AG736" s="27"/>
      <c r="AH736" s="27"/>
      <c r="AI736" s="28"/>
      <c r="AJ736" s="29"/>
      <c r="AK736" s="29"/>
      <c r="AL736" s="27"/>
      <c r="AM736" s="27"/>
      <c r="AN736" s="27"/>
      <c r="AO736" s="27"/>
      <c r="AP736" s="27"/>
      <c r="AY736" s="27"/>
      <c r="AZ736" s="27"/>
      <c r="BA736" s="27"/>
      <c r="BB736" s="27"/>
      <c r="BC736" s="28"/>
      <c r="BD736" s="29"/>
      <c r="BE736" s="29"/>
      <c r="BF736" s="27"/>
      <c r="BG736" s="27"/>
      <c r="BH736" s="27"/>
      <c r="BI736" s="27"/>
      <c r="BJ736" s="27"/>
      <c r="BK736" s="27"/>
      <c r="BL736" s="27"/>
      <c r="BM736" s="27"/>
    </row>
    <row r="737">
      <c r="I737" s="27"/>
      <c r="J737" s="27"/>
      <c r="K737" s="27"/>
      <c r="L737" s="27"/>
      <c r="M737" s="28"/>
      <c r="N737" s="29"/>
      <c r="O737" s="29"/>
      <c r="P737" s="29"/>
      <c r="Q737" s="27"/>
      <c r="R737" s="27"/>
      <c r="S737" s="27"/>
      <c r="T737" s="27"/>
      <c r="U737" s="27"/>
      <c r="V737" s="27"/>
      <c r="AE737" s="27"/>
      <c r="AF737" s="27"/>
      <c r="AG737" s="27"/>
      <c r="AH737" s="27"/>
      <c r="AI737" s="28"/>
      <c r="AJ737" s="29"/>
      <c r="AK737" s="29"/>
      <c r="AL737" s="27"/>
      <c r="AM737" s="27"/>
      <c r="AN737" s="27"/>
      <c r="AO737" s="27"/>
      <c r="AP737" s="27"/>
      <c r="AY737" s="27"/>
      <c r="AZ737" s="27"/>
      <c r="BA737" s="27"/>
      <c r="BB737" s="27"/>
      <c r="BC737" s="28"/>
      <c r="BD737" s="29"/>
      <c r="BE737" s="29"/>
      <c r="BF737" s="27"/>
      <c r="BG737" s="27"/>
      <c r="BH737" s="27"/>
      <c r="BI737" s="27"/>
      <c r="BJ737" s="27"/>
      <c r="BK737" s="27"/>
      <c r="BL737" s="27"/>
      <c r="BM737" s="27"/>
    </row>
    <row r="738">
      <c r="I738" s="27"/>
      <c r="J738" s="27"/>
      <c r="K738" s="27"/>
      <c r="L738" s="27"/>
      <c r="M738" s="28"/>
      <c r="N738" s="29"/>
      <c r="O738" s="29"/>
      <c r="P738" s="29"/>
      <c r="Q738" s="27"/>
      <c r="R738" s="27"/>
      <c r="S738" s="27"/>
      <c r="T738" s="27"/>
      <c r="U738" s="27"/>
      <c r="V738" s="27"/>
      <c r="AE738" s="27"/>
      <c r="AF738" s="27"/>
      <c r="AG738" s="27"/>
      <c r="AH738" s="27"/>
      <c r="AI738" s="28"/>
      <c r="AJ738" s="29"/>
      <c r="AK738" s="29"/>
      <c r="AL738" s="27"/>
      <c r="AM738" s="27"/>
      <c r="AN738" s="27"/>
      <c r="AO738" s="27"/>
      <c r="AP738" s="27"/>
      <c r="AY738" s="27"/>
      <c r="AZ738" s="27"/>
      <c r="BA738" s="27"/>
      <c r="BB738" s="27"/>
      <c r="BC738" s="28"/>
      <c r="BD738" s="29"/>
      <c r="BE738" s="29"/>
      <c r="BF738" s="27"/>
      <c r="BG738" s="27"/>
      <c r="BH738" s="27"/>
      <c r="BI738" s="27"/>
      <c r="BJ738" s="27"/>
      <c r="BK738" s="27"/>
      <c r="BL738" s="27"/>
      <c r="BM738" s="27"/>
    </row>
    <row r="739">
      <c r="I739" s="27"/>
      <c r="J739" s="27"/>
      <c r="K739" s="27"/>
      <c r="L739" s="27"/>
      <c r="M739" s="28"/>
      <c r="N739" s="29"/>
      <c r="O739" s="29"/>
      <c r="P739" s="29"/>
      <c r="Q739" s="27"/>
      <c r="R739" s="27"/>
      <c r="S739" s="27"/>
      <c r="T739" s="27"/>
      <c r="U739" s="27"/>
      <c r="V739" s="27"/>
      <c r="AE739" s="27"/>
      <c r="AF739" s="27"/>
      <c r="AG739" s="27"/>
      <c r="AH739" s="27"/>
      <c r="AI739" s="28"/>
      <c r="AJ739" s="29"/>
      <c r="AK739" s="29"/>
      <c r="AL739" s="27"/>
      <c r="AM739" s="27"/>
      <c r="AN739" s="27"/>
      <c r="AO739" s="27"/>
      <c r="AP739" s="27"/>
      <c r="AY739" s="27"/>
      <c r="AZ739" s="27"/>
      <c r="BA739" s="27"/>
      <c r="BB739" s="27"/>
      <c r="BC739" s="28"/>
      <c r="BD739" s="29"/>
      <c r="BE739" s="29"/>
      <c r="BF739" s="27"/>
      <c r="BG739" s="27"/>
      <c r="BH739" s="27"/>
      <c r="BI739" s="27"/>
      <c r="BJ739" s="27"/>
      <c r="BK739" s="27"/>
      <c r="BL739" s="27"/>
      <c r="BM739" s="27"/>
    </row>
    <row r="740">
      <c r="I740" s="27"/>
      <c r="J740" s="27"/>
      <c r="K740" s="27"/>
      <c r="L740" s="27"/>
      <c r="M740" s="28"/>
      <c r="N740" s="29"/>
      <c r="O740" s="29"/>
      <c r="P740" s="29"/>
      <c r="Q740" s="27"/>
      <c r="R740" s="27"/>
      <c r="S740" s="27"/>
      <c r="T740" s="27"/>
      <c r="U740" s="27"/>
      <c r="V740" s="27"/>
      <c r="AE740" s="27"/>
      <c r="AF740" s="27"/>
      <c r="AG740" s="27"/>
      <c r="AH740" s="27"/>
      <c r="AI740" s="28"/>
      <c r="AJ740" s="29"/>
      <c r="AK740" s="29"/>
      <c r="AL740" s="27"/>
      <c r="AM740" s="27"/>
      <c r="AN740" s="27"/>
      <c r="AO740" s="27"/>
      <c r="AP740" s="27"/>
      <c r="AY740" s="27"/>
      <c r="AZ740" s="27"/>
      <c r="BA740" s="27"/>
      <c r="BB740" s="27"/>
      <c r="BC740" s="28"/>
      <c r="BD740" s="29"/>
      <c r="BE740" s="29"/>
      <c r="BF740" s="27"/>
      <c r="BG740" s="27"/>
      <c r="BH740" s="27"/>
      <c r="BI740" s="27"/>
      <c r="BJ740" s="27"/>
      <c r="BK740" s="27"/>
      <c r="BL740" s="27"/>
      <c r="BM740" s="27"/>
    </row>
    <row r="741">
      <c r="I741" s="27"/>
      <c r="J741" s="27"/>
      <c r="K741" s="27"/>
      <c r="L741" s="27"/>
      <c r="M741" s="28"/>
      <c r="N741" s="29"/>
      <c r="O741" s="29"/>
      <c r="P741" s="29"/>
      <c r="Q741" s="27"/>
      <c r="R741" s="27"/>
      <c r="S741" s="27"/>
      <c r="T741" s="27"/>
      <c r="U741" s="27"/>
      <c r="V741" s="27"/>
      <c r="AE741" s="27"/>
      <c r="AF741" s="27"/>
      <c r="AG741" s="27"/>
      <c r="AH741" s="27"/>
      <c r="AI741" s="28"/>
      <c r="AJ741" s="29"/>
      <c r="AK741" s="29"/>
      <c r="AL741" s="27"/>
      <c r="AM741" s="27"/>
      <c r="AN741" s="27"/>
      <c r="AO741" s="27"/>
      <c r="AP741" s="27"/>
      <c r="AY741" s="27"/>
      <c r="AZ741" s="27"/>
      <c r="BA741" s="27"/>
      <c r="BB741" s="27"/>
      <c r="BC741" s="28"/>
      <c r="BD741" s="29"/>
      <c r="BE741" s="29"/>
      <c r="BF741" s="27"/>
      <c r="BG741" s="27"/>
      <c r="BH741" s="27"/>
      <c r="BI741" s="27"/>
      <c r="BJ741" s="27"/>
      <c r="BK741" s="27"/>
      <c r="BL741" s="27"/>
      <c r="BM741" s="27"/>
    </row>
    <row r="742">
      <c r="I742" s="27"/>
      <c r="J742" s="27"/>
      <c r="K742" s="27"/>
      <c r="L742" s="27"/>
      <c r="M742" s="28"/>
      <c r="N742" s="29"/>
      <c r="O742" s="29"/>
      <c r="P742" s="29"/>
      <c r="Q742" s="27"/>
      <c r="R742" s="27"/>
      <c r="S742" s="27"/>
      <c r="T742" s="27"/>
      <c r="U742" s="27"/>
      <c r="V742" s="27"/>
      <c r="AE742" s="27"/>
      <c r="AF742" s="27"/>
      <c r="AG742" s="27"/>
      <c r="AH742" s="27"/>
      <c r="AI742" s="28"/>
      <c r="AJ742" s="29"/>
      <c r="AK742" s="29"/>
      <c r="AL742" s="27"/>
      <c r="AM742" s="27"/>
      <c r="AN742" s="27"/>
      <c r="AO742" s="27"/>
      <c r="AP742" s="27"/>
      <c r="AY742" s="27"/>
      <c r="AZ742" s="27"/>
      <c r="BA742" s="27"/>
      <c r="BB742" s="27"/>
      <c r="BC742" s="28"/>
      <c r="BD742" s="29"/>
      <c r="BE742" s="29"/>
      <c r="BF742" s="27"/>
      <c r="BG742" s="27"/>
      <c r="BH742" s="27"/>
      <c r="BI742" s="27"/>
      <c r="BJ742" s="27"/>
      <c r="BK742" s="27"/>
      <c r="BL742" s="27"/>
      <c r="BM742" s="27"/>
    </row>
    <row r="743">
      <c r="I743" s="27"/>
      <c r="J743" s="27"/>
      <c r="K743" s="27"/>
      <c r="L743" s="27"/>
      <c r="M743" s="28"/>
      <c r="N743" s="29"/>
      <c r="O743" s="29"/>
      <c r="P743" s="29"/>
      <c r="Q743" s="27"/>
      <c r="R743" s="27"/>
      <c r="S743" s="27"/>
      <c r="T743" s="27"/>
      <c r="U743" s="27"/>
      <c r="V743" s="27"/>
      <c r="AE743" s="27"/>
      <c r="AF743" s="27"/>
      <c r="AG743" s="27"/>
      <c r="AH743" s="27"/>
      <c r="AI743" s="28"/>
      <c r="AJ743" s="29"/>
      <c r="AK743" s="29"/>
      <c r="AL743" s="27"/>
      <c r="AM743" s="27"/>
      <c r="AN743" s="27"/>
      <c r="AO743" s="27"/>
      <c r="AP743" s="27"/>
      <c r="AY743" s="27"/>
      <c r="AZ743" s="27"/>
      <c r="BA743" s="27"/>
      <c r="BB743" s="27"/>
      <c r="BC743" s="28"/>
      <c r="BD743" s="29"/>
      <c r="BE743" s="29"/>
      <c r="BF743" s="27"/>
      <c r="BG743" s="27"/>
      <c r="BH743" s="27"/>
      <c r="BI743" s="27"/>
      <c r="BJ743" s="27"/>
      <c r="BK743" s="27"/>
      <c r="BL743" s="27"/>
      <c r="BM743" s="27"/>
    </row>
    <row r="744">
      <c r="I744" s="27"/>
      <c r="J744" s="27"/>
      <c r="K744" s="27"/>
      <c r="L744" s="27"/>
      <c r="M744" s="28"/>
      <c r="N744" s="29"/>
      <c r="O744" s="29"/>
      <c r="P744" s="29"/>
      <c r="Q744" s="27"/>
      <c r="R744" s="27"/>
      <c r="S744" s="27"/>
      <c r="T744" s="27"/>
      <c r="U744" s="27"/>
      <c r="V744" s="27"/>
      <c r="AE744" s="27"/>
      <c r="AF744" s="27"/>
      <c r="AG744" s="27"/>
      <c r="AH744" s="27"/>
      <c r="AI744" s="28"/>
      <c r="AJ744" s="29"/>
      <c r="AK744" s="29"/>
      <c r="AL744" s="27"/>
      <c r="AM744" s="27"/>
      <c r="AN744" s="27"/>
      <c r="AO744" s="27"/>
      <c r="AP744" s="27"/>
      <c r="AY744" s="27"/>
      <c r="AZ744" s="27"/>
      <c r="BA744" s="27"/>
      <c r="BB744" s="27"/>
      <c r="BC744" s="28"/>
      <c r="BD744" s="29"/>
      <c r="BE744" s="29"/>
      <c r="BF744" s="27"/>
      <c r="BG744" s="27"/>
      <c r="BH744" s="27"/>
      <c r="BI744" s="27"/>
      <c r="BJ744" s="27"/>
      <c r="BK744" s="27"/>
      <c r="BL744" s="27"/>
      <c r="BM744" s="27"/>
    </row>
    <row r="745">
      <c r="I745" s="27"/>
      <c r="J745" s="27"/>
      <c r="K745" s="27"/>
      <c r="L745" s="27"/>
      <c r="M745" s="28"/>
      <c r="N745" s="29"/>
      <c r="O745" s="29"/>
      <c r="P745" s="29"/>
      <c r="Q745" s="27"/>
      <c r="R745" s="27"/>
      <c r="S745" s="27"/>
      <c r="T745" s="27"/>
      <c r="U745" s="27"/>
      <c r="V745" s="27"/>
      <c r="AE745" s="27"/>
      <c r="AF745" s="27"/>
      <c r="AG745" s="27"/>
      <c r="AH745" s="27"/>
      <c r="AI745" s="28"/>
      <c r="AJ745" s="29"/>
      <c r="AK745" s="29"/>
      <c r="AL745" s="27"/>
      <c r="AM745" s="27"/>
      <c r="AN745" s="27"/>
      <c r="AO745" s="27"/>
      <c r="AP745" s="27"/>
      <c r="AY745" s="27"/>
      <c r="AZ745" s="27"/>
      <c r="BA745" s="27"/>
      <c r="BB745" s="27"/>
      <c r="BC745" s="28"/>
      <c r="BD745" s="29"/>
      <c r="BE745" s="29"/>
      <c r="BF745" s="27"/>
      <c r="BG745" s="27"/>
      <c r="BH745" s="27"/>
      <c r="BI745" s="27"/>
      <c r="BJ745" s="27"/>
      <c r="BK745" s="27"/>
      <c r="BL745" s="27"/>
      <c r="BM745" s="27"/>
    </row>
    <row r="746">
      <c r="I746" s="27"/>
      <c r="J746" s="27"/>
      <c r="K746" s="27"/>
      <c r="L746" s="27"/>
      <c r="M746" s="28"/>
      <c r="N746" s="29"/>
      <c r="O746" s="29"/>
      <c r="P746" s="29"/>
      <c r="Q746" s="27"/>
      <c r="R746" s="27"/>
      <c r="S746" s="27"/>
      <c r="T746" s="27"/>
      <c r="U746" s="27"/>
      <c r="V746" s="27"/>
      <c r="AE746" s="27"/>
      <c r="AF746" s="27"/>
      <c r="AG746" s="27"/>
      <c r="AH746" s="27"/>
      <c r="AI746" s="28"/>
      <c r="AJ746" s="29"/>
      <c r="AK746" s="29"/>
      <c r="AL746" s="27"/>
      <c r="AM746" s="27"/>
      <c r="AN746" s="27"/>
      <c r="AO746" s="27"/>
      <c r="AP746" s="27"/>
      <c r="AY746" s="27"/>
      <c r="AZ746" s="27"/>
      <c r="BA746" s="27"/>
      <c r="BB746" s="27"/>
      <c r="BC746" s="28"/>
      <c r="BD746" s="29"/>
      <c r="BE746" s="29"/>
      <c r="BF746" s="27"/>
      <c r="BG746" s="27"/>
      <c r="BH746" s="27"/>
      <c r="BI746" s="27"/>
      <c r="BJ746" s="27"/>
      <c r="BK746" s="27"/>
      <c r="BL746" s="27"/>
      <c r="BM746" s="27"/>
    </row>
    <row r="747">
      <c r="I747" s="27"/>
      <c r="J747" s="27"/>
      <c r="K747" s="27"/>
      <c r="L747" s="27"/>
      <c r="M747" s="28"/>
      <c r="N747" s="29"/>
      <c r="O747" s="29"/>
      <c r="P747" s="29"/>
      <c r="Q747" s="27"/>
      <c r="R747" s="27"/>
      <c r="S747" s="27"/>
      <c r="T747" s="27"/>
      <c r="U747" s="27"/>
      <c r="V747" s="27"/>
      <c r="AE747" s="27"/>
      <c r="AF747" s="27"/>
      <c r="AG747" s="27"/>
      <c r="AH747" s="27"/>
      <c r="AI747" s="28"/>
      <c r="AJ747" s="29"/>
      <c r="AK747" s="29"/>
      <c r="AL747" s="27"/>
      <c r="AM747" s="27"/>
      <c r="AN747" s="27"/>
      <c r="AO747" s="27"/>
      <c r="AP747" s="27"/>
      <c r="AY747" s="27"/>
      <c r="AZ747" s="27"/>
      <c r="BA747" s="27"/>
      <c r="BB747" s="27"/>
      <c r="BC747" s="28"/>
      <c r="BD747" s="29"/>
      <c r="BE747" s="29"/>
      <c r="BF747" s="27"/>
      <c r="BG747" s="27"/>
      <c r="BH747" s="27"/>
      <c r="BI747" s="27"/>
      <c r="BJ747" s="27"/>
      <c r="BK747" s="27"/>
      <c r="BL747" s="27"/>
      <c r="BM747" s="27"/>
    </row>
    <row r="748">
      <c r="I748" s="27"/>
      <c r="J748" s="27"/>
      <c r="K748" s="27"/>
      <c r="L748" s="27"/>
      <c r="M748" s="28"/>
      <c r="N748" s="29"/>
      <c r="O748" s="29"/>
      <c r="P748" s="29"/>
      <c r="Q748" s="27"/>
      <c r="R748" s="27"/>
      <c r="S748" s="27"/>
      <c r="T748" s="27"/>
      <c r="U748" s="27"/>
      <c r="V748" s="27"/>
      <c r="AE748" s="27"/>
      <c r="AF748" s="27"/>
      <c r="AG748" s="27"/>
      <c r="AH748" s="27"/>
      <c r="AI748" s="28"/>
      <c r="AJ748" s="29"/>
      <c r="AK748" s="29"/>
      <c r="AL748" s="27"/>
      <c r="AM748" s="27"/>
      <c r="AN748" s="27"/>
      <c r="AO748" s="27"/>
      <c r="AP748" s="27"/>
      <c r="AY748" s="27"/>
      <c r="AZ748" s="27"/>
      <c r="BA748" s="27"/>
      <c r="BB748" s="27"/>
      <c r="BC748" s="28"/>
      <c r="BD748" s="29"/>
      <c r="BE748" s="29"/>
      <c r="BF748" s="27"/>
      <c r="BG748" s="27"/>
      <c r="BH748" s="27"/>
      <c r="BI748" s="27"/>
      <c r="BJ748" s="27"/>
      <c r="BK748" s="27"/>
      <c r="BL748" s="27"/>
      <c r="BM748" s="27"/>
    </row>
    <row r="749">
      <c r="I749" s="27"/>
      <c r="J749" s="27"/>
      <c r="K749" s="27"/>
      <c r="L749" s="27"/>
      <c r="M749" s="28"/>
      <c r="N749" s="29"/>
      <c r="O749" s="29"/>
      <c r="P749" s="29"/>
      <c r="Q749" s="27"/>
      <c r="R749" s="27"/>
      <c r="S749" s="27"/>
      <c r="T749" s="27"/>
      <c r="U749" s="27"/>
      <c r="V749" s="27"/>
      <c r="AE749" s="27"/>
      <c r="AF749" s="27"/>
      <c r="AG749" s="27"/>
      <c r="AH749" s="27"/>
      <c r="AI749" s="28"/>
      <c r="AJ749" s="29"/>
      <c r="AK749" s="29"/>
      <c r="AL749" s="27"/>
      <c r="AM749" s="27"/>
      <c r="AN749" s="27"/>
      <c r="AO749" s="27"/>
      <c r="AP749" s="27"/>
      <c r="AY749" s="27"/>
      <c r="AZ749" s="27"/>
      <c r="BA749" s="27"/>
      <c r="BB749" s="27"/>
      <c r="BC749" s="28"/>
      <c r="BD749" s="29"/>
      <c r="BE749" s="29"/>
      <c r="BF749" s="27"/>
      <c r="BG749" s="27"/>
      <c r="BH749" s="27"/>
      <c r="BI749" s="27"/>
      <c r="BJ749" s="27"/>
      <c r="BK749" s="27"/>
      <c r="BL749" s="27"/>
      <c r="BM749" s="27"/>
    </row>
    <row r="750">
      <c r="I750" s="27"/>
      <c r="J750" s="27"/>
      <c r="K750" s="27"/>
      <c r="L750" s="27"/>
      <c r="M750" s="28"/>
      <c r="N750" s="29"/>
      <c r="O750" s="29"/>
      <c r="P750" s="29"/>
      <c r="Q750" s="27"/>
      <c r="R750" s="27"/>
      <c r="S750" s="27"/>
      <c r="T750" s="27"/>
      <c r="U750" s="27"/>
      <c r="V750" s="27"/>
      <c r="AE750" s="27"/>
      <c r="AF750" s="27"/>
      <c r="AG750" s="27"/>
      <c r="AH750" s="27"/>
      <c r="AI750" s="28"/>
      <c r="AJ750" s="29"/>
      <c r="AK750" s="29"/>
      <c r="AL750" s="27"/>
      <c r="AM750" s="27"/>
      <c r="AN750" s="27"/>
      <c r="AO750" s="27"/>
      <c r="AP750" s="27"/>
      <c r="AY750" s="27"/>
      <c r="AZ750" s="27"/>
      <c r="BA750" s="27"/>
      <c r="BB750" s="27"/>
      <c r="BC750" s="28"/>
      <c r="BD750" s="29"/>
      <c r="BE750" s="29"/>
      <c r="BF750" s="27"/>
      <c r="BG750" s="27"/>
      <c r="BH750" s="27"/>
      <c r="BI750" s="27"/>
      <c r="BJ750" s="27"/>
      <c r="BK750" s="27"/>
      <c r="BL750" s="27"/>
      <c r="BM750" s="27"/>
    </row>
    <row r="751">
      <c r="I751" s="27"/>
      <c r="J751" s="27"/>
      <c r="K751" s="27"/>
      <c r="L751" s="27"/>
      <c r="M751" s="28"/>
      <c r="N751" s="29"/>
      <c r="O751" s="29"/>
      <c r="P751" s="29"/>
      <c r="Q751" s="27"/>
      <c r="R751" s="27"/>
      <c r="S751" s="27"/>
      <c r="T751" s="27"/>
      <c r="U751" s="27"/>
      <c r="V751" s="27"/>
      <c r="AE751" s="27"/>
      <c r="AF751" s="27"/>
      <c r="AG751" s="27"/>
      <c r="AH751" s="27"/>
      <c r="AI751" s="28"/>
      <c r="AJ751" s="29"/>
      <c r="AK751" s="29"/>
      <c r="AL751" s="27"/>
      <c r="AM751" s="27"/>
      <c r="AN751" s="27"/>
      <c r="AO751" s="27"/>
      <c r="AP751" s="27"/>
      <c r="AY751" s="27"/>
      <c r="AZ751" s="27"/>
      <c r="BA751" s="27"/>
      <c r="BB751" s="27"/>
      <c r="BC751" s="28"/>
      <c r="BD751" s="29"/>
      <c r="BE751" s="29"/>
      <c r="BF751" s="27"/>
      <c r="BG751" s="27"/>
      <c r="BH751" s="27"/>
      <c r="BI751" s="27"/>
      <c r="BJ751" s="27"/>
      <c r="BK751" s="27"/>
      <c r="BL751" s="27"/>
      <c r="BM751" s="27"/>
    </row>
    <row r="752">
      <c r="I752" s="27"/>
      <c r="J752" s="27"/>
      <c r="K752" s="27"/>
      <c r="L752" s="27"/>
      <c r="M752" s="28"/>
      <c r="N752" s="29"/>
      <c r="O752" s="29"/>
      <c r="P752" s="29"/>
      <c r="Q752" s="27"/>
      <c r="R752" s="27"/>
      <c r="S752" s="27"/>
      <c r="T752" s="27"/>
      <c r="U752" s="27"/>
      <c r="V752" s="27"/>
      <c r="AE752" s="27"/>
      <c r="AF752" s="27"/>
      <c r="AG752" s="27"/>
      <c r="AH752" s="27"/>
      <c r="AI752" s="28"/>
      <c r="AJ752" s="29"/>
      <c r="AK752" s="29"/>
      <c r="AL752" s="27"/>
      <c r="AM752" s="27"/>
      <c r="AN752" s="27"/>
      <c r="AO752" s="27"/>
      <c r="AP752" s="27"/>
      <c r="AY752" s="27"/>
      <c r="AZ752" s="27"/>
      <c r="BA752" s="27"/>
      <c r="BB752" s="27"/>
      <c r="BC752" s="28"/>
      <c r="BD752" s="29"/>
      <c r="BE752" s="29"/>
      <c r="BF752" s="27"/>
      <c r="BG752" s="27"/>
      <c r="BH752" s="27"/>
      <c r="BI752" s="27"/>
      <c r="BJ752" s="27"/>
      <c r="BK752" s="27"/>
      <c r="BL752" s="27"/>
      <c r="BM752" s="27"/>
    </row>
    <row r="753">
      <c r="I753" s="27"/>
      <c r="J753" s="27"/>
      <c r="K753" s="27"/>
      <c r="L753" s="27"/>
      <c r="M753" s="28"/>
      <c r="N753" s="29"/>
      <c r="O753" s="29"/>
      <c r="P753" s="29"/>
      <c r="Q753" s="27"/>
      <c r="R753" s="27"/>
      <c r="S753" s="27"/>
      <c r="T753" s="27"/>
      <c r="U753" s="27"/>
      <c r="V753" s="27"/>
      <c r="AE753" s="27"/>
      <c r="AF753" s="27"/>
      <c r="AG753" s="27"/>
      <c r="AH753" s="27"/>
      <c r="AI753" s="28"/>
      <c r="AJ753" s="29"/>
      <c r="AK753" s="29"/>
      <c r="AL753" s="27"/>
      <c r="AM753" s="27"/>
      <c r="AN753" s="27"/>
      <c r="AO753" s="27"/>
      <c r="AP753" s="27"/>
      <c r="AY753" s="27"/>
      <c r="AZ753" s="27"/>
      <c r="BA753" s="27"/>
      <c r="BB753" s="27"/>
      <c r="BC753" s="28"/>
      <c r="BD753" s="29"/>
      <c r="BE753" s="29"/>
      <c r="BF753" s="27"/>
      <c r="BG753" s="27"/>
      <c r="BH753" s="27"/>
      <c r="BI753" s="27"/>
      <c r="BJ753" s="27"/>
      <c r="BK753" s="27"/>
      <c r="BL753" s="27"/>
      <c r="BM753" s="27"/>
    </row>
    <row r="754">
      <c r="I754" s="27"/>
      <c r="J754" s="27"/>
      <c r="K754" s="27"/>
      <c r="L754" s="27"/>
      <c r="M754" s="28"/>
      <c r="N754" s="29"/>
      <c r="O754" s="29"/>
      <c r="P754" s="29"/>
      <c r="Q754" s="27"/>
      <c r="R754" s="27"/>
      <c r="S754" s="27"/>
      <c r="T754" s="27"/>
      <c r="U754" s="27"/>
      <c r="V754" s="27"/>
      <c r="AE754" s="27"/>
      <c r="AF754" s="27"/>
      <c r="AG754" s="27"/>
      <c r="AH754" s="27"/>
      <c r="AI754" s="28"/>
      <c r="AJ754" s="29"/>
      <c r="AK754" s="29"/>
      <c r="AL754" s="27"/>
      <c r="AM754" s="27"/>
      <c r="AN754" s="27"/>
      <c r="AO754" s="27"/>
      <c r="AP754" s="27"/>
      <c r="AY754" s="27"/>
      <c r="AZ754" s="27"/>
      <c r="BA754" s="27"/>
      <c r="BB754" s="27"/>
      <c r="BC754" s="28"/>
      <c r="BD754" s="29"/>
      <c r="BE754" s="29"/>
      <c r="BF754" s="27"/>
      <c r="BG754" s="27"/>
      <c r="BH754" s="27"/>
      <c r="BI754" s="27"/>
      <c r="BJ754" s="27"/>
      <c r="BK754" s="27"/>
      <c r="BL754" s="27"/>
      <c r="BM754" s="27"/>
    </row>
    <row r="755">
      <c r="I755" s="27"/>
      <c r="J755" s="27"/>
      <c r="K755" s="27"/>
      <c r="L755" s="27"/>
      <c r="M755" s="28"/>
      <c r="N755" s="29"/>
      <c r="O755" s="29"/>
      <c r="P755" s="29"/>
      <c r="Q755" s="27"/>
      <c r="R755" s="27"/>
      <c r="S755" s="27"/>
      <c r="T755" s="27"/>
      <c r="U755" s="27"/>
      <c r="V755" s="27"/>
      <c r="AE755" s="27"/>
      <c r="AF755" s="27"/>
      <c r="AG755" s="27"/>
      <c r="AH755" s="27"/>
      <c r="AI755" s="28"/>
      <c r="AJ755" s="29"/>
      <c r="AK755" s="29"/>
      <c r="AL755" s="27"/>
      <c r="AM755" s="27"/>
      <c r="AN755" s="27"/>
      <c r="AO755" s="27"/>
      <c r="AP755" s="27"/>
      <c r="AY755" s="27"/>
      <c r="AZ755" s="27"/>
      <c r="BA755" s="27"/>
      <c r="BB755" s="27"/>
      <c r="BC755" s="28"/>
      <c r="BD755" s="29"/>
      <c r="BE755" s="29"/>
      <c r="BF755" s="27"/>
      <c r="BG755" s="27"/>
      <c r="BH755" s="27"/>
      <c r="BI755" s="27"/>
      <c r="BJ755" s="27"/>
      <c r="BK755" s="27"/>
      <c r="BL755" s="27"/>
      <c r="BM755" s="27"/>
    </row>
    <row r="756">
      <c r="I756" s="27"/>
      <c r="J756" s="27"/>
      <c r="K756" s="27"/>
      <c r="L756" s="27"/>
      <c r="M756" s="28"/>
      <c r="N756" s="29"/>
      <c r="O756" s="29"/>
      <c r="P756" s="29"/>
      <c r="Q756" s="27"/>
      <c r="R756" s="27"/>
      <c r="S756" s="27"/>
      <c r="T756" s="27"/>
      <c r="U756" s="27"/>
      <c r="V756" s="27"/>
      <c r="AE756" s="27"/>
      <c r="AF756" s="27"/>
      <c r="AG756" s="27"/>
      <c r="AH756" s="27"/>
      <c r="AI756" s="28"/>
      <c r="AJ756" s="29"/>
      <c r="AK756" s="29"/>
      <c r="AL756" s="27"/>
      <c r="AM756" s="27"/>
      <c r="AN756" s="27"/>
      <c r="AO756" s="27"/>
      <c r="AP756" s="27"/>
      <c r="AY756" s="27"/>
      <c r="AZ756" s="27"/>
      <c r="BA756" s="27"/>
      <c r="BB756" s="27"/>
      <c r="BC756" s="28"/>
      <c r="BD756" s="29"/>
      <c r="BE756" s="29"/>
      <c r="BF756" s="27"/>
      <c r="BG756" s="27"/>
      <c r="BH756" s="27"/>
      <c r="BI756" s="27"/>
      <c r="BJ756" s="27"/>
      <c r="BK756" s="27"/>
      <c r="BL756" s="27"/>
      <c r="BM756" s="27"/>
    </row>
    <row r="757">
      <c r="I757" s="27"/>
      <c r="J757" s="27"/>
      <c r="K757" s="27"/>
      <c r="L757" s="27"/>
      <c r="M757" s="28"/>
      <c r="N757" s="29"/>
      <c r="O757" s="29"/>
      <c r="P757" s="29"/>
      <c r="Q757" s="27"/>
      <c r="R757" s="27"/>
      <c r="S757" s="27"/>
      <c r="T757" s="27"/>
      <c r="U757" s="27"/>
      <c r="V757" s="27"/>
      <c r="AE757" s="27"/>
      <c r="AF757" s="27"/>
      <c r="AG757" s="27"/>
      <c r="AH757" s="27"/>
      <c r="AI757" s="28"/>
      <c r="AJ757" s="29"/>
      <c r="AK757" s="29"/>
      <c r="AL757" s="27"/>
      <c r="AM757" s="27"/>
      <c r="AN757" s="27"/>
      <c r="AO757" s="27"/>
      <c r="AP757" s="27"/>
      <c r="AY757" s="27"/>
      <c r="AZ757" s="27"/>
      <c r="BA757" s="27"/>
      <c r="BB757" s="27"/>
      <c r="BC757" s="28"/>
      <c r="BD757" s="29"/>
      <c r="BE757" s="29"/>
      <c r="BF757" s="27"/>
      <c r="BG757" s="27"/>
      <c r="BH757" s="27"/>
      <c r="BI757" s="27"/>
      <c r="BJ757" s="27"/>
      <c r="BK757" s="27"/>
      <c r="BL757" s="27"/>
      <c r="BM757" s="27"/>
    </row>
    <row r="758">
      <c r="I758" s="27"/>
      <c r="J758" s="27"/>
      <c r="K758" s="27"/>
      <c r="L758" s="27"/>
      <c r="M758" s="28"/>
      <c r="N758" s="29"/>
      <c r="O758" s="29"/>
      <c r="P758" s="29"/>
      <c r="Q758" s="27"/>
      <c r="R758" s="27"/>
      <c r="S758" s="27"/>
      <c r="T758" s="27"/>
      <c r="U758" s="27"/>
      <c r="V758" s="27"/>
      <c r="AE758" s="27"/>
      <c r="AF758" s="27"/>
      <c r="AG758" s="27"/>
      <c r="AH758" s="27"/>
      <c r="AI758" s="28"/>
      <c r="AJ758" s="29"/>
      <c r="AK758" s="29"/>
      <c r="AL758" s="27"/>
      <c r="AM758" s="27"/>
      <c r="AN758" s="27"/>
      <c r="AO758" s="27"/>
      <c r="AP758" s="27"/>
      <c r="AY758" s="27"/>
      <c r="AZ758" s="27"/>
      <c r="BA758" s="27"/>
      <c r="BB758" s="27"/>
      <c r="BC758" s="28"/>
      <c r="BD758" s="29"/>
      <c r="BE758" s="29"/>
      <c r="BF758" s="27"/>
      <c r="BG758" s="27"/>
      <c r="BH758" s="27"/>
      <c r="BI758" s="27"/>
      <c r="BJ758" s="27"/>
      <c r="BK758" s="27"/>
      <c r="BL758" s="27"/>
      <c r="BM758" s="27"/>
    </row>
    <row r="759">
      <c r="I759" s="27"/>
      <c r="J759" s="27"/>
      <c r="K759" s="27"/>
      <c r="L759" s="27"/>
      <c r="M759" s="28"/>
      <c r="N759" s="29"/>
      <c r="O759" s="29"/>
      <c r="P759" s="29"/>
      <c r="Q759" s="27"/>
      <c r="R759" s="27"/>
      <c r="S759" s="27"/>
      <c r="T759" s="27"/>
      <c r="U759" s="27"/>
      <c r="V759" s="27"/>
      <c r="AE759" s="27"/>
      <c r="AF759" s="27"/>
      <c r="AG759" s="27"/>
      <c r="AH759" s="27"/>
      <c r="AI759" s="28"/>
      <c r="AJ759" s="29"/>
      <c r="AK759" s="29"/>
      <c r="AL759" s="27"/>
      <c r="AM759" s="27"/>
      <c r="AN759" s="27"/>
      <c r="AO759" s="27"/>
      <c r="AP759" s="27"/>
      <c r="AY759" s="27"/>
      <c r="AZ759" s="27"/>
      <c r="BA759" s="27"/>
      <c r="BB759" s="27"/>
      <c r="BC759" s="28"/>
      <c r="BD759" s="29"/>
      <c r="BE759" s="29"/>
      <c r="BF759" s="27"/>
      <c r="BG759" s="27"/>
      <c r="BH759" s="27"/>
      <c r="BI759" s="27"/>
      <c r="BJ759" s="27"/>
      <c r="BK759" s="27"/>
      <c r="BL759" s="27"/>
      <c r="BM759" s="27"/>
    </row>
    <row r="760">
      <c r="I760" s="27"/>
      <c r="J760" s="27"/>
      <c r="K760" s="27"/>
      <c r="L760" s="27"/>
      <c r="M760" s="28"/>
      <c r="N760" s="29"/>
      <c r="O760" s="29"/>
      <c r="P760" s="29"/>
      <c r="Q760" s="27"/>
      <c r="R760" s="27"/>
      <c r="S760" s="27"/>
      <c r="T760" s="27"/>
      <c r="U760" s="27"/>
      <c r="V760" s="27"/>
      <c r="AE760" s="27"/>
      <c r="AF760" s="27"/>
      <c r="AG760" s="27"/>
      <c r="AH760" s="27"/>
      <c r="AI760" s="28"/>
      <c r="AJ760" s="29"/>
      <c r="AK760" s="29"/>
      <c r="AL760" s="27"/>
      <c r="AM760" s="27"/>
      <c r="AN760" s="27"/>
      <c r="AO760" s="27"/>
      <c r="AP760" s="27"/>
      <c r="AY760" s="27"/>
      <c r="AZ760" s="27"/>
      <c r="BA760" s="27"/>
      <c r="BB760" s="27"/>
      <c r="BC760" s="28"/>
      <c r="BD760" s="29"/>
      <c r="BE760" s="29"/>
      <c r="BF760" s="27"/>
      <c r="BG760" s="27"/>
      <c r="BH760" s="27"/>
      <c r="BI760" s="27"/>
      <c r="BJ760" s="27"/>
      <c r="BK760" s="27"/>
      <c r="BL760" s="27"/>
      <c r="BM760" s="27"/>
    </row>
    <row r="761">
      <c r="I761" s="27"/>
      <c r="J761" s="27"/>
      <c r="K761" s="27"/>
      <c r="L761" s="27"/>
      <c r="M761" s="28"/>
      <c r="N761" s="29"/>
      <c r="O761" s="29"/>
      <c r="P761" s="29"/>
      <c r="Q761" s="27"/>
      <c r="R761" s="27"/>
      <c r="S761" s="27"/>
      <c r="T761" s="27"/>
      <c r="U761" s="27"/>
      <c r="V761" s="27"/>
      <c r="AE761" s="27"/>
      <c r="AF761" s="27"/>
      <c r="AG761" s="27"/>
      <c r="AH761" s="27"/>
      <c r="AI761" s="28"/>
      <c r="AJ761" s="29"/>
      <c r="AK761" s="29"/>
      <c r="AL761" s="27"/>
      <c r="AM761" s="27"/>
      <c r="AN761" s="27"/>
      <c r="AO761" s="27"/>
      <c r="AP761" s="27"/>
      <c r="AY761" s="27"/>
      <c r="AZ761" s="27"/>
      <c r="BA761" s="27"/>
      <c r="BB761" s="27"/>
      <c r="BC761" s="28"/>
      <c r="BD761" s="29"/>
      <c r="BE761" s="29"/>
      <c r="BF761" s="27"/>
      <c r="BG761" s="27"/>
      <c r="BH761" s="27"/>
      <c r="BI761" s="27"/>
      <c r="BJ761" s="27"/>
      <c r="BK761" s="27"/>
      <c r="BL761" s="27"/>
      <c r="BM761" s="27"/>
    </row>
    <row r="762">
      <c r="I762" s="27"/>
      <c r="J762" s="27"/>
      <c r="K762" s="27"/>
      <c r="L762" s="27"/>
      <c r="M762" s="28"/>
      <c r="N762" s="29"/>
      <c r="O762" s="29"/>
      <c r="P762" s="29"/>
      <c r="Q762" s="27"/>
      <c r="R762" s="27"/>
      <c r="S762" s="27"/>
      <c r="T762" s="27"/>
      <c r="U762" s="27"/>
      <c r="V762" s="27"/>
      <c r="AE762" s="27"/>
      <c r="AF762" s="27"/>
      <c r="AG762" s="27"/>
      <c r="AH762" s="27"/>
      <c r="AI762" s="28"/>
      <c r="AJ762" s="29"/>
      <c r="AK762" s="29"/>
      <c r="AL762" s="27"/>
      <c r="AM762" s="27"/>
      <c r="AN762" s="27"/>
      <c r="AO762" s="27"/>
      <c r="AP762" s="27"/>
      <c r="AY762" s="27"/>
      <c r="AZ762" s="27"/>
      <c r="BA762" s="27"/>
      <c r="BB762" s="27"/>
      <c r="BC762" s="28"/>
      <c r="BD762" s="29"/>
      <c r="BE762" s="29"/>
      <c r="BF762" s="27"/>
      <c r="BG762" s="27"/>
      <c r="BH762" s="27"/>
      <c r="BI762" s="27"/>
      <c r="BJ762" s="27"/>
      <c r="BK762" s="27"/>
      <c r="BL762" s="27"/>
      <c r="BM762" s="27"/>
    </row>
    <row r="763">
      <c r="I763" s="27"/>
      <c r="J763" s="27"/>
      <c r="K763" s="27"/>
      <c r="L763" s="27"/>
      <c r="M763" s="28"/>
      <c r="N763" s="29"/>
      <c r="O763" s="29"/>
      <c r="P763" s="29"/>
      <c r="Q763" s="27"/>
      <c r="R763" s="27"/>
      <c r="S763" s="27"/>
      <c r="T763" s="27"/>
      <c r="U763" s="27"/>
      <c r="V763" s="27"/>
      <c r="AE763" s="27"/>
      <c r="AF763" s="27"/>
      <c r="AG763" s="27"/>
      <c r="AH763" s="27"/>
      <c r="AI763" s="28"/>
      <c r="AJ763" s="29"/>
      <c r="AK763" s="29"/>
      <c r="AL763" s="27"/>
      <c r="AM763" s="27"/>
      <c r="AN763" s="27"/>
      <c r="AO763" s="27"/>
      <c r="AP763" s="27"/>
      <c r="AY763" s="27"/>
      <c r="AZ763" s="27"/>
      <c r="BA763" s="27"/>
      <c r="BB763" s="27"/>
      <c r="BC763" s="28"/>
      <c r="BD763" s="29"/>
      <c r="BE763" s="29"/>
      <c r="BF763" s="27"/>
      <c r="BG763" s="27"/>
      <c r="BH763" s="27"/>
      <c r="BI763" s="27"/>
      <c r="BJ763" s="27"/>
      <c r="BK763" s="27"/>
      <c r="BL763" s="27"/>
      <c r="BM763" s="27"/>
    </row>
    <row r="764">
      <c r="I764" s="27"/>
      <c r="J764" s="27"/>
      <c r="K764" s="27"/>
      <c r="L764" s="27"/>
      <c r="M764" s="28"/>
      <c r="N764" s="29"/>
      <c r="O764" s="29"/>
      <c r="P764" s="29"/>
      <c r="Q764" s="27"/>
      <c r="R764" s="27"/>
      <c r="S764" s="27"/>
      <c r="T764" s="27"/>
      <c r="U764" s="27"/>
      <c r="V764" s="27"/>
      <c r="AE764" s="27"/>
      <c r="AF764" s="27"/>
      <c r="AG764" s="27"/>
      <c r="AH764" s="27"/>
      <c r="AI764" s="28"/>
      <c r="AJ764" s="29"/>
      <c r="AK764" s="29"/>
      <c r="AL764" s="27"/>
      <c r="AM764" s="27"/>
      <c r="AN764" s="27"/>
      <c r="AO764" s="27"/>
      <c r="AP764" s="27"/>
      <c r="AY764" s="27"/>
      <c r="AZ764" s="27"/>
      <c r="BA764" s="27"/>
      <c r="BB764" s="27"/>
      <c r="BC764" s="28"/>
      <c r="BD764" s="29"/>
      <c r="BE764" s="29"/>
      <c r="BF764" s="27"/>
      <c r="BG764" s="27"/>
      <c r="BH764" s="27"/>
      <c r="BI764" s="27"/>
      <c r="BJ764" s="27"/>
      <c r="BK764" s="27"/>
      <c r="BL764" s="27"/>
      <c r="BM764" s="27"/>
    </row>
    <row r="765">
      <c r="I765" s="27"/>
      <c r="J765" s="27"/>
      <c r="K765" s="27"/>
      <c r="L765" s="27"/>
      <c r="M765" s="28"/>
      <c r="N765" s="29"/>
      <c r="O765" s="29"/>
      <c r="P765" s="29"/>
      <c r="Q765" s="27"/>
      <c r="R765" s="27"/>
      <c r="S765" s="27"/>
      <c r="T765" s="27"/>
      <c r="U765" s="27"/>
      <c r="V765" s="27"/>
      <c r="AE765" s="27"/>
      <c r="AF765" s="27"/>
      <c r="AG765" s="27"/>
      <c r="AH765" s="27"/>
      <c r="AI765" s="28"/>
      <c r="AJ765" s="29"/>
      <c r="AK765" s="29"/>
      <c r="AL765" s="27"/>
      <c r="AM765" s="27"/>
      <c r="AN765" s="27"/>
      <c r="AO765" s="27"/>
      <c r="AP765" s="27"/>
      <c r="AY765" s="27"/>
      <c r="AZ765" s="27"/>
      <c r="BA765" s="27"/>
      <c r="BB765" s="27"/>
      <c r="BC765" s="28"/>
      <c r="BD765" s="29"/>
      <c r="BE765" s="29"/>
      <c r="BF765" s="27"/>
      <c r="BG765" s="27"/>
      <c r="BH765" s="27"/>
      <c r="BI765" s="27"/>
      <c r="BJ765" s="27"/>
      <c r="BK765" s="27"/>
      <c r="BL765" s="27"/>
      <c r="BM765" s="27"/>
    </row>
    <row r="766">
      <c r="I766" s="27"/>
      <c r="J766" s="27"/>
      <c r="K766" s="27"/>
      <c r="L766" s="27"/>
      <c r="M766" s="28"/>
      <c r="N766" s="29"/>
      <c r="O766" s="29"/>
      <c r="P766" s="29"/>
      <c r="Q766" s="27"/>
      <c r="R766" s="27"/>
      <c r="S766" s="27"/>
      <c r="T766" s="27"/>
      <c r="U766" s="27"/>
      <c r="V766" s="27"/>
      <c r="AE766" s="27"/>
      <c r="AF766" s="27"/>
      <c r="AG766" s="27"/>
      <c r="AH766" s="27"/>
      <c r="AI766" s="28"/>
      <c r="AJ766" s="29"/>
      <c r="AK766" s="29"/>
      <c r="AL766" s="27"/>
      <c r="AM766" s="27"/>
      <c r="AN766" s="27"/>
      <c r="AO766" s="27"/>
      <c r="AP766" s="27"/>
      <c r="AY766" s="27"/>
      <c r="AZ766" s="27"/>
      <c r="BA766" s="27"/>
      <c r="BB766" s="27"/>
      <c r="BC766" s="28"/>
      <c r="BD766" s="29"/>
      <c r="BE766" s="29"/>
      <c r="BF766" s="27"/>
      <c r="BG766" s="27"/>
      <c r="BH766" s="27"/>
      <c r="BI766" s="27"/>
      <c r="BJ766" s="27"/>
      <c r="BK766" s="27"/>
      <c r="BL766" s="27"/>
      <c r="BM766" s="27"/>
    </row>
    <row r="767">
      <c r="I767" s="27"/>
      <c r="J767" s="27"/>
      <c r="K767" s="27"/>
      <c r="L767" s="27"/>
      <c r="M767" s="28"/>
      <c r="N767" s="29"/>
      <c r="O767" s="29"/>
      <c r="P767" s="29"/>
      <c r="Q767" s="27"/>
      <c r="R767" s="27"/>
      <c r="S767" s="27"/>
      <c r="T767" s="27"/>
      <c r="U767" s="27"/>
      <c r="V767" s="27"/>
      <c r="AE767" s="27"/>
      <c r="AF767" s="27"/>
      <c r="AG767" s="27"/>
      <c r="AH767" s="27"/>
      <c r="AI767" s="28"/>
      <c r="AJ767" s="29"/>
      <c r="AK767" s="29"/>
      <c r="AL767" s="27"/>
      <c r="AM767" s="27"/>
      <c r="AN767" s="27"/>
      <c r="AO767" s="27"/>
      <c r="AP767" s="27"/>
      <c r="AY767" s="27"/>
      <c r="AZ767" s="27"/>
      <c r="BA767" s="27"/>
      <c r="BB767" s="27"/>
      <c r="BC767" s="28"/>
      <c r="BD767" s="29"/>
      <c r="BE767" s="29"/>
      <c r="BF767" s="27"/>
      <c r="BG767" s="27"/>
      <c r="BH767" s="27"/>
      <c r="BI767" s="27"/>
      <c r="BJ767" s="27"/>
      <c r="BK767" s="27"/>
      <c r="BL767" s="27"/>
      <c r="BM767" s="27"/>
    </row>
    <row r="768">
      <c r="I768" s="27"/>
      <c r="J768" s="27"/>
      <c r="K768" s="27"/>
      <c r="L768" s="27"/>
      <c r="M768" s="28"/>
      <c r="N768" s="29"/>
      <c r="O768" s="29"/>
      <c r="P768" s="29"/>
      <c r="Q768" s="27"/>
      <c r="R768" s="27"/>
      <c r="S768" s="27"/>
      <c r="T768" s="27"/>
      <c r="U768" s="27"/>
      <c r="V768" s="27"/>
      <c r="AE768" s="27"/>
      <c r="AF768" s="27"/>
      <c r="AG768" s="27"/>
      <c r="AH768" s="27"/>
      <c r="AI768" s="28"/>
      <c r="AJ768" s="29"/>
      <c r="AK768" s="29"/>
      <c r="AL768" s="27"/>
      <c r="AM768" s="27"/>
      <c r="AN768" s="27"/>
      <c r="AO768" s="27"/>
      <c r="AP768" s="27"/>
      <c r="AY768" s="27"/>
      <c r="AZ768" s="27"/>
      <c r="BA768" s="27"/>
      <c r="BB768" s="27"/>
      <c r="BC768" s="28"/>
      <c r="BD768" s="29"/>
      <c r="BE768" s="29"/>
      <c r="BF768" s="27"/>
      <c r="BG768" s="27"/>
      <c r="BH768" s="27"/>
      <c r="BI768" s="27"/>
      <c r="BJ768" s="27"/>
      <c r="BK768" s="27"/>
      <c r="BL768" s="27"/>
      <c r="BM768" s="27"/>
    </row>
    <row r="769">
      <c r="I769" s="27"/>
      <c r="J769" s="27"/>
      <c r="K769" s="27"/>
      <c r="L769" s="27"/>
      <c r="M769" s="28"/>
      <c r="N769" s="29"/>
      <c r="O769" s="29"/>
      <c r="P769" s="29"/>
      <c r="Q769" s="27"/>
      <c r="R769" s="27"/>
      <c r="S769" s="27"/>
      <c r="T769" s="27"/>
      <c r="U769" s="27"/>
      <c r="V769" s="27"/>
      <c r="AE769" s="27"/>
      <c r="AF769" s="27"/>
      <c r="AG769" s="27"/>
      <c r="AH769" s="27"/>
      <c r="AI769" s="28"/>
      <c r="AJ769" s="29"/>
      <c r="AK769" s="29"/>
      <c r="AL769" s="27"/>
      <c r="AM769" s="27"/>
      <c r="AN769" s="27"/>
      <c r="AO769" s="27"/>
      <c r="AP769" s="27"/>
      <c r="AY769" s="27"/>
      <c r="AZ769" s="27"/>
      <c r="BA769" s="27"/>
      <c r="BB769" s="27"/>
      <c r="BC769" s="28"/>
      <c r="BD769" s="29"/>
      <c r="BE769" s="29"/>
      <c r="BF769" s="27"/>
      <c r="BG769" s="27"/>
      <c r="BH769" s="27"/>
      <c r="BI769" s="27"/>
      <c r="BJ769" s="27"/>
      <c r="BK769" s="27"/>
      <c r="BL769" s="27"/>
      <c r="BM769" s="27"/>
    </row>
    <row r="770">
      <c r="I770" s="27"/>
      <c r="J770" s="27"/>
      <c r="K770" s="27"/>
      <c r="L770" s="27"/>
      <c r="M770" s="28"/>
      <c r="N770" s="29"/>
      <c r="O770" s="29"/>
      <c r="P770" s="29"/>
      <c r="Q770" s="27"/>
      <c r="R770" s="27"/>
      <c r="S770" s="27"/>
      <c r="T770" s="27"/>
      <c r="U770" s="27"/>
      <c r="V770" s="27"/>
      <c r="AE770" s="27"/>
      <c r="AF770" s="27"/>
      <c r="AG770" s="27"/>
      <c r="AH770" s="27"/>
      <c r="AI770" s="28"/>
      <c r="AJ770" s="29"/>
      <c r="AK770" s="29"/>
      <c r="AL770" s="27"/>
      <c r="AM770" s="27"/>
      <c r="AN770" s="27"/>
      <c r="AO770" s="27"/>
      <c r="AP770" s="27"/>
      <c r="AY770" s="27"/>
      <c r="AZ770" s="27"/>
      <c r="BA770" s="27"/>
      <c r="BB770" s="27"/>
      <c r="BC770" s="28"/>
      <c r="BD770" s="29"/>
      <c r="BE770" s="29"/>
      <c r="BF770" s="27"/>
      <c r="BG770" s="27"/>
      <c r="BH770" s="27"/>
      <c r="BI770" s="27"/>
      <c r="BJ770" s="27"/>
      <c r="BK770" s="27"/>
      <c r="BL770" s="27"/>
      <c r="BM770" s="27"/>
    </row>
    <row r="771">
      <c r="I771" s="27"/>
      <c r="J771" s="27"/>
      <c r="K771" s="27"/>
      <c r="L771" s="27"/>
      <c r="M771" s="28"/>
      <c r="N771" s="29"/>
      <c r="O771" s="29"/>
      <c r="P771" s="29"/>
      <c r="Q771" s="27"/>
      <c r="R771" s="27"/>
      <c r="S771" s="27"/>
      <c r="T771" s="27"/>
      <c r="U771" s="27"/>
      <c r="V771" s="27"/>
      <c r="AE771" s="27"/>
      <c r="AF771" s="27"/>
      <c r="AG771" s="27"/>
      <c r="AH771" s="27"/>
      <c r="AI771" s="28"/>
      <c r="AJ771" s="29"/>
      <c r="AK771" s="29"/>
      <c r="AL771" s="27"/>
      <c r="AM771" s="27"/>
      <c r="AN771" s="27"/>
      <c r="AO771" s="27"/>
      <c r="AP771" s="27"/>
      <c r="AY771" s="27"/>
      <c r="AZ771" s="27"/>
      <c r="BA771" s="27"/>
      <c r="BB771" s="27"/>
      <c r="BC771" s="28"/>
      <c r="BD771" s="29"/>
      <c r="BE771" s="29"/>
      <c r="BF771" s="27"/>
      <c r="BG771" s="27"/>
      <c r="BH771" s="27"/>
      <c r="BI771" s="27"/>
      <c r="BJ771" s="27"/>
      <c r="BK771" s="27"/>
      <c r="BL771" s="27"/>
      <c r="BM771" s="27"/>
    </row>
    <row r="772">
      <c r="I772" s="27"/>
      <c r="J772" s="27"/>
      <c r="K772" s="27"/>
      <c r="L772" s="27"/>
      <c r="M772" s="28"/>
      <c r="N772" s="29"/>
      <c r="O772" s="29"/>
      <c r="P772" s="29"/>
      <c r="Q772" s="27"/>
      <c r="R772" s="27"/>
      <c r="S772" s="27"/>
      <c r="T772" s="27"/>
      <c r="U772" s="27"/>
      <c r="V772" s="27"/>
      <c r="AE772" s="27"/>
      <c r="AF772" s="27"/>
      <c r="AG772" s="27"/>
      <c r="AH772" s="27"/>
      <c r="AI772" s="28"/>
      <c r="AJ772" s="29"/>
      <c r="AK772" s="29"/>
      <c r="AL772" s="27"/>
      <c r="AM772" s="27"/>
      <c r="AN772" s="27"/>
      <c r="AO772" s="27"/>
      <c r="AP772" s="27"/>
      <c r="AY772" s="27"/>
      <c r="AZ772" s="27"/>
      <c r="BA772" s="27"/>
      <c r="BB772" s="27"/>
      <c r="BC772" s="28"/>
      <c r="BD772" s="29"/>
      <c r="BE772" s="29"/>
      <c r="BF772" s="27"/>
      <c r="BG772" s="27"/>
      <c r="BH772" s="27"/>
      <c r="BI772" s="27"/>
      <c r="BJ772" s="27"/>
      <c r="BK772" s="27"/>
      <c r="BL772" s="27"/>
      <c r="BM772" s="27"/>
    </row>
    <row r="773">
      <c r="I773" s="27"/>
      <c r="J773" s="27"/>
      <c r="K773" s="27"/>
      <c r="L773" s="27"/>
      <c r="M773" s="28"/>
      <c r="N773" s="29"/>
      <c r="O773" s="29"/>
      <c r="P773" s="29"/>
      <c r="Q773" s="27"/>
      <c r="R773" s="27"/>
      <c r="S773" s="27"/>
      <c r="T773" s="27"/>
      <c r="U773" s="27"/>
      <c r="V773" s="27"/>
      <c r="AE773" s="27"/>
      <c r="AF773" s="27"/>
      <c r="AG773" s="27"/>
      <c r="AH773" s="27"/>
      <c r="AI773" s="28"/>
      <c r="AJ773" s="29"/>
      <c r="AK773" s="29"/>
      <c r="AL773" s="27"/>
      <c r="AM773" s="27"/>
      <c r="AN773" s="27"/>
      <c r="AO773" s="27"/>
      <c r="AP773" s="27"/>
      <c r="AY773" s="27"/>
      <c r="AZ773" s="27"/>
      <c r="BA773" s="27"/>
      <c r="BB773" s="27"/>
      <c r="BC773" s="28"/>
      <c r="BD773" s="29"/>
      <c r="BE773" s="29"/>
      <c r="BF773" s="27"/>
      <c r="BG773" s="27"/>
      <c r="BH773" s="27"/>
      <c r="BI773" s="27"/>
      <c r="BJ773" s="27"/>
      <c r="BK773" s="27"/>
      <c r="BL773" s="27"/>
      <c r="BM773" s="27"/>
    </row>
    <row r="774">
      <c r="I774" s="27"/>
      <c r="J774" s="27"/>
      <c r="K774" s="27"/>
      <c r="L774" s="27"/>
      <c r="M774" s="28"/>
      <c r="N774" s="29"/>
      <c r="O774" s="29"/>
      <c r="P774" s="29"/>
      <c r="Q774" s="27"/>
      <c r="R774" s="27"/>
      <c r="S774" s="27"/>
      <c r="T774" s="27"/>
      <c r="U774" s="27"/>
      <c r="V774" s="27"/>
      <c r="AE774" s="27"/>
      <c r="AF774" s="27"/>
      <c r="AG774" s="27"/>
      <c r="AH774" s="27"/>
      <c r="AI774" s="28"/>
      <c r="AJ774" s="29"/>
      <c r="AK774" s="29"/>
      <c r="AL774" s="27"/>
      <c r="AM774" s="27"/>
      <c r="AN774" s="27"/>
      <c r="AO774" s="27"/>
      <c r="AP774" s="27"/>
      <c r="AY774" s="27"/>
      <c r="AZ774" s="27"/>
      <c r="BA774" s="27"/>
      <c r="BB774" s="27"/>
      <c r="BC774" s="28"/>
      <c r="BD774" s="29"/>
      <c r="BE774" s="29"/>
      <c r="BF774" s="27"/>
      <c r="BG774" s="27"/>
      <c r="BH774" s="27"/>
      <c r="BI774" s="27"/>
      <c r="BJ774" s="27"/>
      <c r="BK774" s="27"/>
      <c r="BL774" s="27"/>
      <c r="BM774" s="27"/>
    </row>
    <row r="775">
      <c r="I775" s="27"/>
      <c r="J775" s="27"/>
      <c r="K775" s="27"/>
      <c r="L775" s="27"/>
      <c r="M775" s="28"/>
      <c r="N775" s="29"/>
      <c r="O775" s="29"/>
      <c r="P775" s="29"/>
      <c r="Q775" s="27"/>
      <c r="R775" s="27"/>
      <c r="S775" s="27"/>
      <c r="T775" s="27"/>
      <c r="U775" s="27"/>
      <c r="V775" s="27"/>
      <c r="AE775" s="27"/>
      <c r="AF775" s="27"/>
      <c r="AG775" s="27"/>
      <c r="AH775" s="27"/>
      <c r="AI775" s="28"/>
      <c r="AJ775" s="29"/>
      <c r="AK775" s="29"/>
      <c r="AL775" s="27"/>
      <c r="AM775" s="27"/>
      <c r="AN775" s="27"/>
      <c r="AO775" s="27"/>
      <c r="AP775" s="27"/>
      <c r="AY775" s="27"/>
      <c r="AZ775" s="27"/>
      <c r="BA775" s="27"/>
      <c r="BB775" s="27"/>
      <c r="BC775" s="28"/>
      <c r="BD775" s="29"/>
      <c r="BE775" s="29"/>
      <c r="BF775" s="27"/>
      <c r="BG775" s="27"/>
      <c r="BH775" s="27"/>
      <c r="BI775" s="27"/>
      <c r="BJ775" s="27"/>
      <c r="BK775" s="27"/>
      <c r="BL775" s="27"/>
      <c r="BM775" s="27"/>
    </row>
    <row r="776">
      <c r="I776" s="27"/>
      <c r="J776" s="27"/>
      <c r="K776" s="27"/>
      <c r="L776" s="27"/>
      <c r="M776" s="28"/>
      <c r="N776" s="29"/>
      <c r="O776" s="29"/>
      <c r="P776" s="29"/>
      <c r="Q776" s="27"/>
      <c r="R776" s="27"/>
      <c r="S776" s="27"/>
      <c r="T776" s="27"/>
      <c r="U776" s="27"/>
      <c r="V776" s="27"/>
      <c r="AE776" s="27"/>
      <c r="AF776" s="27"/>
      <c r="AG776" s="27"/>
      <c r="AH776" s="27"/>
      <c r="AI776" s="28"/>
      <c r="AJ776" s="29"/>
      <c r="AK776" s="29"/>
      <c r="AL776" s="27"/>
      <c r="AM776" s="27"/>
      <c r="AN776" s="27"/>
      <c r="AO776" s="27"/>
      <c r="AP776" s="27"/>
      <c r="AY776" s="27"/>
      <c r="AZ776" s="27"/>
      <c r="BA776" s="27"/>
      <c r="BB776" s="27"/>
      <c r="BC776" s="28"/>
      <c r="BD776" s="29"/>
      <c r="BE776" s="29"/>
      <c r="BF776" s="27"/>
      <c r="BG776" s="27"/>
      <c r="BH776" s="27"/>
      <c r="BI776" s="27"/>
      <c r="BJ776" s="27"/>
      <c r="BK776" s="27"/>
      <c r="BL776" s="27"/>
      <c r="BM776" s="27"/>
    </row>
    <row r="777">
      <c r="I777" s="27"/>
      <c r="J777" s="27"/>
      <c r="K777" s="27"/>
      <c r="L777" s="27"/>
      <c r="M777" s="28"/>
      <c r="N777" s="29"/>
      <c r="O777" s="29"/>
      <c r="P777" s="29"/>
      <c r="Q777" s="27"/>
      <c r="R777" s="27"/>
      <c r="S777" s="27"/>
      <c r="T777" s="27"/>
      <c r="U777" s="27"/>
      <c r="V777" s="27"/>
      <c r="AE777" s="27"/>
      <c r="AF777" s="27"/>
      <c r="AG777" s="27"/>
      <c r="AH777" s="27"/>
      <c r="AI777" s="28"/>
      <c r="AJ777" s="29"/>
      <c r="AK777" s="29"/>
      <c r="AL777" s="27"/>
      <c r="AM777" s="27"/>
      <c r="AN777" s="27"/>
      <c r="AO777" s="27"/>
      <c r="AP777" s="27"/>
      <c r="AY777" s="27"/>
      <c r="AZ777" s="27"/>
      <c r="BA777" s="27"/>
      <c r="BB777" s="27"/>
      <c r="BC777" s="28"/>
      <c r="BD777" s="29"/>
      <c r="BE777" s="29"/>
      <c r="BF777" s="27"/>
      <c r="BG777" s="27"/>
      <c r="BH777" s="27"/>
      <c r="BI777" s="27"/>
      <c r="BJ777" s="27"/>
      <c r="BK777" s="27"/>
      <c r="BL777" s="27"/>
      <c r="BM777" s="27"/>
    </row>
    <row r="778">
      <c r="I778" s="27"/>
      <c r="J778" s="27"/>
      <c r="K778" s="27"/>
      <c r="L778" s="27"/>
      <c r="M778" s="28"/>
      <c r="N778" s="29"/>
      <c r="O778" s="29"/>
      <c r="P778" s="29"/>
      <c r="Q778" s="27"/>
      <c r="R778" s="27"/>
      <c r="S778" s="27"/>
      <c r="T778" s="27"/>
      <c r="U778" s="27"/>
      <c r="V778" s="27"/>
      <c r="AE778" s="27"/>
      <c r="AF778" s="27"/>
      <c r="AG778" s="27"/>
      <c r="AH778" s="27"/>
      <c r="AI778" s="28"/>
      <c r="AJ778" s="29"/>
      <c r="AK778" s="29"/>
      <c r="AL778" s="27"/>
      <c r="AM778" s="27"/>
      <c r="AN778" s="27"/>
      <c r="AO778" s="27"/>
      <c r="AP778" s="27"/>
      <c r="AY778" s="27"/>
      <c r="AZ778" s="27"/>
      <c r="BA778" s="27"/>
      <c r="BB778" s="27"/>
      <c r="BC778" s="28"/>
      <c r="BD778" s="29"/>
      <c r="BE778" s="29"/>
      <c r="BF778" s="27"/>
      <c r="BG778" s="27"/>
      <c r="BH778" s="27"/>
      <c r="BI778" s="27"/>
      <c r="BJ778" s="27"/>
      <c r="BK778" s="27"/>
      <c r="BL778" s="27"/>
      <c r="BM778" s="27"/>
    </row>
    <row r="779">
      <c r="I779" s="27"/>
      <c r="J779" s="27"/>
      <c r="K779" s="27"/>
      <c r="L779" s="27"/>
      <c r="M779" s="28"/>
      <c r="N779" s="29"/>
      <c r="O779" s="29"/>
      <c r="P779" s="29"/>
      <c r="Q779" s="27"/>
      <c r="R779" s="27"/>
      <c r="S779" s="27"/>
      <c r="T779" s="27"/>
      <c r="U779" s="27"/>
      <c r="V779" s="27"/>
      <c r="AE779" s="27"/>
      <c r="AF779" s="27"/>
      <c r="AG779" s="27"/>
      <c r="AH779" s="27"/>
      <c r="AI779" s="28"/>
      <c r="AJ779" s="29"/>
      <c r="AK779" s="29"/>
      <c r="AL779" s="27"/>
      <c r="AM779" s="27"/>
      <c r="AN779" s="27"/>
      <c r="AO779" s="27"/>
      <c r="AP779" s="27"/>
      <c r="AY779" s="27"/>
      <c r="AZ779" s="27"/>
      <c r="BA779" s="27"/>
      <c r="BB779" s="27"/>
      <c r="BC779" s="28"/>
      <c r="BD779" s="29"/>
      <c r="BE779" s="29"/>
      <c r="BF779" s="27"/>
      <c r="BG779" s="27"/>
      <c r="BH779" s="27"/>
      <c r="BI779" s="27"/>
      <c r="BJ779" s="27"/>
      <c r="BK779" s="27"/>
      <c r="BL779" s="27"/>
      <c r="BM779" s="27"/>
    </row>
    <row r="780">
      <c r="I780" s="27"/>
      <c r="J780" s="27"/>
      <c r="K780" s="27"/>
      <c r="L780" s="27"/>
      <c r="M780" s="28"/>
      <c r="N780" s="29"/>
      <c r="O780" s="29"/>
      <c r="P780" s="29"/>
      <c r="Q780" s="27"/>
      <c r="R780" s="27"/>
      <c r="S780" s="27"/>
      <c r="T780" s="27"/>
      <c r="U780" s="27"/>
      <c r="V780" s="27"/>
      <c r="AE780" s="27"/>
      <c r="AF780" s="27"/>
      <c r="AG780" s="27"/>
      <c r="AH780" s="27"/>
      <c r="AI780" s="28"/>
      <c r="AJ780" s="29"/>
      <c r="AK780" s="29"/>
      <c r="AL780" s="27"/>
      <c r="AM780" s="27"/>
      <c r="AN780" s="27"/>
      <c r="AO780" s="27"/>
      <c r="AP780" s="27"/>
      <c r="AY780" s="27"/>
      <c r="AZ780" s="27"/>
      <c r="BA780" s="27"/>
      <c r="BB780" s="27"/>
      <c r="BC780" s="28"/>
      <c r="BD780" s="29"/>
      <c r="BE780" s="29"/>
      <c r="BF780" s="27"/>
      <c r="BG780" s="27"/>
      <c r="BH780" s="27"/>
      <c r="BI780" s="27"/>
      <c r="BJ780" s="27"/>
      <c r="BK780" s="27"/>
      <c r="BL780" s="27"/>
      <c r="BM780" s="27"/>
    </row>
    <row r="781">
      <c r="I781" s="27"/>
      <c r="J781" s="27"/>
      <c r="K781" s="27"/>
      <c r="L781" s="27"/>
      <c r="M781" s="28"/>
      <c r="N781" s="29"/>
      <c r="O781" s="29"/>
      <c r="P781" s="29"/>
      <c r="Q781" s="27"/>
      <c r="R781" s="27"/>
      <c r="S781" s="27"/>
      <c r="T781" s="27"/>
      <c r="U781" s="27"/>
      <c r="V781" s="27"/>
      <c r="AE781" s="27"/>
      <c r="AF781" s="27"/>
      <c r="AG781" s="27"/>
      <c r="AH781" s="27"/>
      <c r="AI781" s="28"/>
      <c r="AJ781" s="29"/>
      <c r="AK781" s="29"/>
      <c r="AL781" s="27"/>
      <c r="AM781" s="27"/>
      <c r="AN781" s="27"/>
      <c r="AO781" s="27"/>
      <c r="AP781" s="27"/>
      <c r="AY781" s="27"/>
      <c r="AZ781" s="27"/>
      <c r="BA781" s="27"/>
      <c r="BB781" s="27"/>
      <c r="BC781" s="28"/>
      <c r="BD781" s="29"/>
      <c r="BE781" s="29"/>
      <c r="BF781" s="27"/>
      <c r="BG781" s="27"/>
      <c r="BH781" s="27"/>
      <c r="BI781" s="27"/>
      <c r="BJ781" s="27"/>
      <c r="BK781" s="27"/>
      <c r="BL781" s="27"/>
      <c r="BM781" s="27"/>
    </row>
    <row r="782">
      <c r="I782" s="27"/>
      <c r="J782" s="27"/>
      <c r="K782" s="27"/>
      <c r="L782" s="27"/>
      <c r="M782" s="28"/>
      <c r="N782" s="29"/>
      <c r="O782" s="29"/>
      <c r="P782" s="29"/>
      <c r="Q782" s="27"/>
      <c r="R782" s="27"/>
      <c r="S782" s="27"/>
      <c r="T782" s="27"/>
      <c r="U782" s="27"/>
      <c r="V782" s="27"/>
      <c r="AE782" s="27"/>
      <c r="AF782" s="27"/>
      <c r="AG782" s="27"/>
      <c r="AH782" s="27"/>
      <c r="AI782" s="28"/>
      <c r="AJ782" s="29"/>
      <c r="AK782" s="29"/>
      <c r="AL782" s="27"/>
      <c r="AM782" s="27"/>
      <c r="AN782" s="27"/>
      <c r="AO782" s="27"/>
      <c r="AP782" s="27"/>
      <c r="AY782" s="27"/>
      <c r="AZ782" s="27"/>
      <c r="BA782" s="27"/>
      <c r="BB782" s="27"/>
      <c r="BC782" s="28"/>
      <c r="BD782" s="29"/>
      <c r="BE782" s="29"/>
      <c r="BF782" s="27"/>
      <c r="BG782" s="27"/>
      <c r="BH782" s="27"/>
      <c r="BI782" s="27"/>
      <c r="BJ782" s="27"/>
      <c r="BK782" s="27"/>
      <c r="BL782" s="27"/>
      <c r="BM782" s="27"/>
    </row>
    <row r="783">
      <c r="I783" s="27"/>
      <c r="J783" s="27"/>
      <c r="K783" s="27"/>
      <c r="L783" s="27"/>
      <c r="M783" s="28"/>
      <c r="N783" s="29"/>
      <c r="O783" s="29"/>
      <c r="P783" s="29"/>
      <c r="Q783" s="27"/>
      <c r="R783" s="27"/>
      <c r="S783" s="27"/>
      <c r="T783" s="27"/>
      <c r="U783" s="27"/>
      <c r="V783" s="27"/>
      <c r="AE783" s="27"/>
      <c r="AF783" s="27"/>
      <c r="AG783" s="27"/>
      <c r="AH783" s="27"/>
      <c r="AI783" s="28"/>
      <c r="AJ783" s="29"/>
      <c r="AK783" s="29"/>
      <c r="AL783" s="27"/>
      <c r="AM783" s="27"/>
      <c r="AN783" s="27"/>
      <c r="AO783" s="27"/>
      <c r="AP783" s="27"/>
      <c r="AY783" s="27"/>
      <c r="AZ783" s="27"/>
      <c r="BA783" s="27"/>
      <c r="BB783" s="27"/>
      <c r="BC783" s="28"/>
      <c r="BD783" s="29"/>
      <c r="BE783" s="29"/>
      <c r="BF783" s="27"/>
      <c r="BG783" s="27"/>
      <c r="BH783" s="27"/>
      <c r="BI783" s="27"/>
      <c r="BJ783" s="27"/>
      <c r="BK783" s="27"/>
      <c r="BL783" s="27"/>
      <c r="BM783" s="27"/>
    </row>
    <row r="784">
      <c r="I784" s="27"/>
      <c r="J784" s="27"/>
      <c r="K784" s="27"/>
      <c r="L784" s="27"/>
      <c r="M784" s="28"/>
      <c r="N784" s="29"/>
      <c r="O784" s="29"/>
      <c r="P784" s="29"/>
      <c r="Q784" s="27"/>
      <c r="R784" s="27"/>
      <c r="S784" s="27"/>
      <c r="T784" s="27"/>
      <c r="U784" s="27"/>
      <c r="V784" s="27"/>
      <c r="AE784" s="27"/>
      <c r="AF784" s="27"/>
      <c r="AG784" s="27"/>
      <c r="AH784" s="27"/>
      <c r="AI784" s="28"/>
      <c r="AJ784" s="29"/>
      <c r="AK784" s="29"/>
      <c r="AL784" s="27"/>
      <c r="AM784" s="27"/>
      <c r="AN784" s="27"/>
      <c r="AO784" s="27"/>
      <c r="AP784" s="27"/>
      <c r="AY784" s="27"/>
      <c r="AZ784" s="27"/>
      <c r="BA784" s="27"/>
      <c r="BB784" s="27"/>
      <c r="BC784" s="28"/>
      <c r="BD784" s="29"/>
      <c r="BE784" s="29"/>
      <c r="BF784" s="27"/>
      <c r="BG784" s="27"/>
      <c r="BH784" s="27"/>
      <c r="BI784" s="27"/>
      <c r="BJ784" s="27"/>
      <c r="BK784" s="27"/>
      <c r="BL784" s="27"/>
      <c r="BM784" s="27"/>
    </row>
    <row r="785">
      <c r="I785" s="27"/>
      <c r="J785" s="27"/>
      <c r="K785" s="27"/>
      <c r="L785" s="27"/>
      <c r="M785" s="28"/>
      <c r="N785" s="29"/>
      <c r="O785" s="29"/>
      <c r="P785" s="29"/>
      <c r="Q785" s="27"/>
      <c r="R785" s="27"/>
      <c r="S785" s="27"/>
      <c r="T785" s="27"/>
      <c r="U785" s="27"/>
      <c r="V785" s="27"/>
      <c r="AE785" s="27"/>
      <c r="AF785" s="27"/>
      <c r="AG785" s="27"/>
      <c r="AH785" s="27"/>
      <c r="AI785" s="28"/>
      <c r="AJ785" s="29"/>
      <c r="AK785" s="29"/>
      <c r="AL785" s="27"/>
      <c r="AM785" s="27"/>
      <c r="AN785" s="27"/>
      <c r="AO785" s="27"/>
      <c r="AP785" s="27"/>
      <c r="AY785" s="27"/>
      <c r="AZ785" s="27"/>
      <c r="BA785" s="27"/>
      <c r="BB785" s="27"/>
      <c r="BC785" s="28"/>
      <c r="BD785" s="29"/>
      <c r="BE785" s="29"/>
      <c r="BF785" s="27"/>
      <c r="BG785" s="27"/>
      <c r="BH785" s="27"/>
      <c r="BI785" s="27"/>
      <c r="BJ785" s="27"/>
      <c r="BK785" s="27"/>
      <c r="BL785" s="27"/>
      <c r="BM785" s="27"/>
    </row>
    <row r="786">
      <c r="I786" s="27"/>
      <c r="J786" s="27"/>
      <c r="K786" s="27"/>
      <c r="L786" s="27"/>
      <c r="M786" s="28"/>
      <c r="N786" s="29"/>
      <c r="O786" s="29"/>
      <c r="P786" s="29"/>
      <c r="Q786" s="27"/>
      <c r="R786" s="27"/>
      <c r="S786" s="27"/>
      <c r="T786" s="27"/>
      <c r="U786" s="27"/>
      <c r="V786" s="27"/>
      <c r="AE786" s="27"/>
      <c r="AF786" s="27"/>
      <c r="AG786" s="27"/>
      <c r="AH786" s="27"/>
      <c r="AI786" s="28"/>
      <c r="AJ786" s="29"/>
      <c r="AK786" s="29"/>
      <c r="AL786" s="27"/>
      <c r="AM786" s="27"/>
      <c r="AN786" s="27"/>
      <c r="AO786" s="27"/>
      <c r="AP786" s="27"/>
      <c r="AY786" s="27"/>
      <c r="AZ786" s="27"/>
      <c r="BA786" s="27"/>
      <c r="BB786" s="27"/>
      <c r="BC786" s="28"/>
      <c r="BD786" s="29"/>
      <c r="BE786" s="29"/>
      <c r="BF786" s="27"/>
      <c r="BG786" s="27"/>
      <c r="BH786" s="27"/>
      <c r="BI786" s="27"/>
      <c r="BJ786" s="27"/>
      <c r="BK786" s="27"/>
      <c r="BL786" s="27"/>
      <c r="BM786" s="27"/>
    </row>
    <row r="787">
      <c r="I787" s="27"/>
      <c r="J787" s="27"/>
      <c r="K787" s="27"/>
      <c r="L787" s="27"/>
      <c r="M787" s="28"/>
      <c r="N787" s="29"/>
      <c r="O787" s="29"/>
      <c r="P787" s="29"/>
      <c r="Q787" s="27"/>
      <c r="R787" s="27"/>
      <c r="S787" s="27"/>
      <c r="T787" s="27"/>
      <c r="U787" s="27"/>
      <c r="V787" s="27"/>
      <c r="AE787" s="27"/>
      <c r="AF787" s="27"/>
      <c r="AG787" s="27"/>
      <c r="AH787" s="27"/>
      <c r="AI787" s="28"/>
      <c r="AJ787" s="29"/>
      <c r="AK787" s="29"/>
      <c r="AL787" s="27"/>
      <c r="AM787" s="27"/>
      <c r="AN787" s="27"/>
      <c r="AO787" s="27"/>
      <c r="AP787" s="27"/>
      <c r="AY787" s="27"/>
      <c r="AZ787" s="27"/>
      <c r="BA787" s="27"/>
      <c r="BB787" s="27"/>
      <c r="BC787" s="28"/>
      <c r="BD787" s="29"/>
      <c r="BE787" s="29"/>
      <c r="BF787" s="27"/>
      <c r="BG787" s="27"/>
      <c r="BH787" s="27"/>
      <c r="BI787" s="27"/>
      <c r="BJ787" s="27"/>
      <c r="BK787" s="27"/>
      <c r="BL787" s="27"/>
      <c r="BM787" s="27"/>
    </row>
    <row r="788">
      <c r="I788" s="27"/>
      <c r="J788" s="27"/>
      <c r="K788" s="27"/>
      <c r="L788" s="27"/>
      <c r="M788" s="28"/>
      <c r="N788" s="29"/>
      <c r="O788" s="29"/>
      <c r="P788" s="29"/>
      <c r="Q788" s="27"/>
      <c r="R788" s="27"/>
      <c r="S788" s="27"/>
      <c r="T788" s="27"/>
      <c r="U788" s="27"/>
      <c r="V788" s="27"/>
      <c r="AE788" s="27"/>
      <c r="AF788" s="27"/>
      <c r="AG788" s="27"/>
      <c r="AH788" s="27"/>
      <c r="AI788" s="28"/>
      <c r="AJ788" s="29"/>
      <c r="AK788" s="29"/>
      <c r="AL788" s="27"/>
      <c r="AM788" s="27"/>
      <c r="AN788" s="27"/>
      <c r="AO788" s="27"/>
      <c r="AP788" s="27"/>
      <c r="AY788" s="27"/>
      <c r="AZ788" s="27"/>
      <c r="BA788" s="27"/>
      <c r="BB788" s="27"/>
      <c r="BC788" s="28"/>
      <c r="BD788" s="29"/>
      <c r="BE788" s="29"/>
      <c r="BF788" s="27"/>
      <c r="BG788" s="27"/>
      <c r="BH788" s="27"/>
      <c r="BI788" s="27"/>
      <c r="BJ788" s="27"/>
      <c r="BK788" s="27"/>
      <c r="BL788" s="27"/>
      <c r="BM788" s="27"/>
    </row>
    <row r="789">
      <c r="I789" s="27"/>
      <c r="J789" s="27"/>
      <c r="K789" s="27"/>
      <c r="L789" s="27"/>
      <c r="M789" s="28"/>
      <c r="N789" s="29"/>
      <c r="O789" s="29"/>
      <c r="P789" s="29"/>
      <c r="Q789" s="27"/>
      <c r="R789" s="27"/>
      <c r="S789" s="27"/>
      <c r="T789" s="27"/>
      <c r="U789" s="27"/>
      <c r="V789" s="27"/>
      <c r="AE789" s="27"/>
      <c r="AF789" s="27"/>
      <c r="AG789" s="27"/>
      <c r="AH789" s="27"/>
      <c r="AI789" s="28"/>
      <c r="AJ789" s="29"/>
      <c r="AK789" s="29"/>
      <c r="AL789" s="27"/>
      <c r="AM789" s="27"/>
      <c r="AN789" s="27"/>
      <c r="AO789" s="27"/>
      <c r="AP789" s="27"/>
      <c r="AY789" s="27"/>
      <c r="AZ789" s="27"/>
      <c r="BA789" s="27"/>
      <c r="BB789" s="27"/>
      <c r="BC789" s="28"/>
      <c r="BD789" s="29"/>
      <c r="BE789" s="29"/>
      <c r="BF789" s="27"/>
      <c r="BG789" s="27"/>
      <c r="BH789" s="27"/>
      <c r="BI789" s="27"/>
      <c r="BJ789" s="27"/>
      <c r="BK789" s="27"/>
      <c r="BL789" s="27"/>
      <c r="BM789" s="27"/>
    </row>
    <row r="790">
      <c r="I790" s="27"/>
      <c r="J790" s="27"/>
      <c r="K790" s="27"/>
      <c r="L790" s="27"/>
      <c r="M790" s="28"/>
      <c r="N790" s="29"/>
      <c r="O790" s="29"/>
      <c r="P790" s="29"/>
      <c r="Q790" s="27"/>
      <c r="R790" s="27"/>
      <c r="S790" s="27"/>
      <c r="T790" s="27"/>
      <c r="U790" s="27"/>
      <c r="V790" s="27"/>
      <c r="AE790" s="27"/>
      <c r="AF790" s="27"/>
      <c r="AG790" s="27"/>
      <c r="AH790" s="27"/>
      <c r="AI790" s="28"/>
      <c r="AJ790" s="29"/>
      <c r="AK790" s="29"/>
      <c r="AL790" s="27"/>
      <c r="AM790" s="27"/>
      <c r="AN790" s="27"/>
      <c r="AO790" s="27"/>
      <c r="AP790" s="27"/>
      <c r="AY790" s="27"/>
      <c r="AZ790" s="27"/>
      <c r="BA790" s="27"/>
      <c r="BB790" s="27"/>
      <c r="BC790" s="28"/>
      <c r="BD790" s="29"/>
      <c r="BE790" s="29"/>
      <c r="BF790" s="27"/>
      <c r="BG790" s="27"/>
      <c r="BH790" s="27"/>
      <c r="BI790" s="27"/>
      <c r="BJ790" s="27"/>
      <c r="BK790" s="27"/>
      <c r="BL790" s="27"/>
      <c r="BM790" s="27"/>
    </row>
    <row r="791">
      <c r="I791" s="27"/>
      <c r="J791" s="27"/>
      <c r="K791" s="27"/>
      <c r="L791" s="27"/>
      <c r="M791" s="28"/>
      <c r="N791" s="29"/>
      <c r="O791" s="29"/>
      <c r="P791" s="29"/>
      <c r="Q791" s="27"/>
      <c r="R791" s="27"/>
      <c r="S791" s="27"/>
      <c r="T791" s="27"/>
      <c r="U791" s="27"/>
      <c r="V791" s="27"/>
      <c r="AE791" s="27"/>
      <c r="AF791" s="27"/>
      <c r="AG791" s="27"/>
      <c r="AH791" s="27"/>
      <c r="AI791" s="28"/>
      <c r="AJ791" s="29"/>
      <c r="AK791" s="29"/>
      <c r="AL791" s="27"/>
      <c r="AM791" s="27"/>
      <c r="AN791" s="27"/>
      <c r="AO791" s="27"/>
      <c r="AP791" s="27"/>
      <c r="AY791" s="27"/>
      <c r="AZ791" s="27"/>
      <c r="BA791" s="27"/>
      <c r="BB791" s="27"/>
      <c r="BC791" s="28"/>
      <c r="BD791" s="29"/>
      <c r="BE791" s="29"/>
      <c r="BF791" s="27"/>
      <c r="BG791" s="27"/>
      <c r="BH791" s="27"/>
      <c r="BI791" s="27"/>
      <c r="BJ791" s="27"/>
      <c r="BK791" s="27"/>
      <c r="BL791" s="27"/>
      <c r="BM791" s="27"/>
    </row>
    <row r="792">
      <c r="I792" s="27"/>
      <c r="J792" s="27"/>
      <c r="K792" s="27"/>
      <c r="L792" s="27"/>
      <c r="M792" s="28"/>
      <c r="N792" s="29"/>
      <c r="O792" s="29"/>
      <c r="P792" s="29"/>
      <c r="Q792" s="27"/>
      <c r="R792" s="27"/>
      <c r="S792" s="27"/>
      <c r="T792" s="27"/>
      <c r="U792" s="27"/>
      <c r="V792" s="27"/>
      <c r="AE792" s="27"/>
      <c r="AF792" s="27"/>
      <c r="AG792" s="27"/>
      <c r="AH792" s="27"/>
      <c r="AI792" s="28"/>
      <c r="AJ792" s="29"/>
      <c r="AK792" s="29"/>
      <c r="AL792" s="27"/>
      <c r="AM792" s="27"/>
      <c r="AN792" s="27"/>
      <c r="AO792" s="27"/>
      <c r="AP792" s="27"/>
      <c r="AY792" s="27"/>
      <c r="AZ792" s="27"/>
      <c r="BA792" s="27"/>
      <c r="BB792" s="27"/>
      <c r="BC792" s="28"/>
      <c r="BD792" s="29"/>
      <c r="BE792" s="29"/>
      <c r="BF792" s="27"/>
      <c r="BG792" s="27"/>
      <c r="BH792" s="27"/>
      <c r="BI792" s="27"/>
      <c r="BJ792" s="27"/>
      <c r="BK792" s="27"/>
      <c r="BL792" s="27"/>
      <c r="BM792" s="27"/>
    </row>
    <row r="793">
      <c r="I793" s="27"/>
      <c r="J793" s="27"/>
      <c r="K793" s="27"/>
      <c r="L793" s="27"/>
      <c r="M793" s="28"/>
      <c r="N793" s="29"/>
      <c r="O793" s="29"/>
      <c r="P793" s="29"/>
      <c r="Q793" s="27"/>
      <c r="R793" s="27"/>
      <c r="S793" s="27"/>
      <c r="T793" s="27"/>
      <c r="U793" s="27"/>
      <c r="V793" s="27"/>
      <c r="AE793" s="27"/>
      <c r="AF793" s="27"/>
      <c r="AG793" s="27"/>
      <c r="AH793" s="27"/>
      <c r="AI793" s="28"/>
      <c r="AJ793" s="29"/>
      <c r="AK793" s="29"/>
      <c r="AL793" s="27"/>
      <c r="AM793" s="27"/>
      <c r="AN793" s="27"/>
      <c r="AO793" s="27"/>
      <c r="AP793" s="27"/>
      <c r="AY793" s="27"/>
      <c r="AZ793" s="27"/>
      <c r="BA793" s="27"/>
      <c r="BB793" s="27"/>
      <c r="BC793" s="28"/>
      <c r="BD793" s="29"/>
      <c r="BE793" s="29"/>
      <c r="BF793" s="27"/>
      <c r="BG793" s="27"/>
      <c r="BH793" s="27"/>
      <c r="BI793" s="27"/>
      <c r="BJ793" s="27"/>
      <c r="BK793" s="27"/>
      <c r="BL793" s="27"/>
      <c r="BM793" s="27"/>
    </row>
    <row r="794">
      <c r="I794" s="27"/>
      <c r="J794" s="27"/>
      <c r="K794" s="27"/>
      <c r="L794" s="27"/>
      <c r="M794" s="28"/>
      <c r="N794" s="29"/>
      <c r="O794" s="29"/>
      <c r="P794" s="29"/>
      <c r="Q794" s="27"/>
      <c r="R794" s="27"/>
      <c r="S794" s="27"/>
      <c r="T794" s="27"/>
      <c r="U794" s="27"/>
      <c r="V794" s="27"/>
      <c r="AE794" s="27"/>
      <c r="AF794" s="27"/>
      <c r="AG794" s="27"/>
      <c r="AH794" s="27"/>
      <c r="AI794" s="28"/>
      <c r="AJ794" s="29"/>
      <c r="AK794" s="29"/>
      <c r="AL794" s="27"/>
      <c r="AM794" s="27"/>
      <c r="AN794" s="27"/>
      <c r="AO794" s="27"/>
      <c r="AP794" s="27"/>
      <c r="AY794" s="27"/>
      <c r="AZ794" s="27"/>
      <c r="BA794" s="27"/>
      <c r="BB794" s="27"/>
      <c r="BC794" s="28"/>
      <c r="BD794" s="29"/>
      <c r="BE794" s="29"/>
      <c r="BF794" s="27"/>
      <c r="BG794" s="27"/>
      <c r="BH794" s="27"/>
      <c r="BI794" s="27"/>
      <c r="BJ794" s="27"/>
      <c r="BK794" s="27"/>
      <c r="BL794" s="27"/>
      <c r="BM794" s="27"/>
    </row>
    <row r="795">
      <c r="I795" s="27"/>
      <c r="J795" s="27"/>
      <c r="K795" s="27"/>
      <c r="L795" s="27"/>
      <c r="M795" s="28"/>
      <c r="N795" s="29"/>
      <c r="O795" s="29"/>
      <c r="P795" s="29"/>
      <c r="Q795" s="27"/>
      <c r="R795" s="27"/>
      <c r="S795" s="27"/>
      <c r="T795" s="27"/>
      <c r="U795" s="27"/>
      <c r="V795" s="27"/>
      <c r="AE795" s="27"/>
      <c r="AF795" s="27"/>
      <c r="AG795" s="27"/>
      <c r="AH795" s="27"/>
      <c r="AI795" s="28"/>
      <c r="AJ795" s="29"/>
      <c r="AK795" s="29"/>
      <c r="AL795" s="27"/>
      <c r="AM795" s="27"/>
      <c r="AN795" s="27"/>
      <c r="AO795" s="27"/>
      <c r="AP795" s="27"/>
      <c r="AY795" s="27"/>
      <c r="AZ795" s="27"/>
      <c r="BA795" s="27"/>
      <c r="BB795" s="27"/>
      <c r="BC795" s="28"/>
      <c r="BD795" s="29"/>
      <c r="BE795" s="29"/>
      <c r="BF795" s="27"/>
      <c r="BG795" s="27"/>
      <c r="BH795" s="27"/>
      <c r="BI795" s="27"/>
      <c r="BJ795" s="27"/>
      <c r="BK795" s="27"/>
      <c r="BL795" s="27"/>
      <c r="BM795" s="27"/>
    </row>
    <row r="796">
      <c r="I796" s="27"/>
      <c r="J796" s="27"/>
      <c r="K796" s="27"/>
      <c r="L796" s="27"/>
      <c r="M796" s="28"/>
      <c r="N796" s="29"/>
      <c r="O796" s="29"/>
      <c r="P796" s="29"/>
      <c r="Q796" s="27"/>
      <c r="R796" s="27"/>
      <c r="S796" s="27"/>
      <c r="T796" s="27"/>
      <c r="U796" s="27"/>
      <c r="V796" s="27"/>
      <c r="AE796" s="27"/>
      <c r="AF796" s="27"/>
      <c r="AG796" s="27"/>
      <c r="AH796" s="27"/>
      <c r="AI796" s="28"/>
      <c r="AJ796" s="29"/>
      <c r="AK796" s="29"/>
      <c r="AL796" s="27"/>
      <c r="AM796" s="27"/>
      <c r="AN796" s="27"/>
      <c r="AO796" s="27"/>
      <c r="AP796" s="27"/>
      <c r="AY796" s="27"/>
      <c r="AZ796" s="27"/>
      <c r="BA796" s="27"/>
      <c r="BB796" s="27"/>
      <c r="BC796" s="28"/>
      <c r="BD796" s="29"/>
      <c r="BE796" s="29"/>
      <c r="BF796" s="27"/>
      <c r="BG796" s="27"/>
      <c r="BH796" s="27"/>
      <c r="BI796" s="27"/>
      <c r="BJ796" s="27"/>
      <c r="BK796" s="27"/>
      <c r="BL796" s="27"/>
      <c r="BM796" s="27"/>
    </row>
    <row r="797">
      <c r="I797" s="27"/>
      <c r="J797" s="27"/>
      <c r="K797" s="27"/>
      <c r="L797" s="27"/>
      <c r="M797" s="28"/>
      <c r="N797" s="29"/>
      <c r="O797" s="29"/>
      <c r="P797" s="29"/>
      <c r="Q797" s="27"/>
      <c r="R797" s="27"/>
      <c r="S797" s="27"/>
      <c r="T797" s="27"/>
      <c r="U797" s="27"/>
      <c r="V797" s="27"/>
      <c r="AE797" s="27"/>
      <c r="AF797" s="27"/>
      <c r="AG797" s="27"/>
      <c r="AH797" s="27"/>
      <c r="AI797" s="28"/>
      <c r="AJ797" s="29"/>
      <c r="AK797" s="29"/>
      <c r="AL797" s="27"/>
      <c r="AM797" s="27"/>
      <c r="AN797" s="27"/>
      <c r="AO797" s="27"/>
      <c r="AP797" s="27"/>
      <c r="AY797" s="27"/>
      <c r="AZ797" s="27"/>
      <c r="BA797" s="27"/>
      <c r="BB797" s="27"/>
      <c r="BC797" s="28"/>
      <c r="BD797" s="29"/>
      <c r="BE797" s="29"/>
      <c r="BF797" s="27"/>
      <c r="BG797" s="27"/>
      <c r="BH797" s="27"/>
      <c r="BI797" s="27"/>
      <c r="BJ797" s="27"/>
      <c r="BK797" s="27"/>
      <c r="BL797" s="27"/>
      <c r="BM797" s="27"/>
    </row>
    <row r="798">
      <c r="I798" s="27"/>
      <c r="J798" s="27"/>
      <c r="K798" s="27"/>
      <c r="L798" s="27"/>
      <c r="M798" s="28"/>
      <c r="N798" s="29"/>
      <c r="O798" s="29"/>
      <c r="P798" s="29"/>
      <c r="Q798" s="27"/>
      <c r="R798" s="27"/>
      <c r="S798" s="27"/>
      <c r="T798" s="27"/>
      <c r="U798" s="27"/>
      <c r="V798" s="27"/>
      <c r="AE798" s="27"/>
      <c r="AF798" s="27"/>
      <c r="AG798" s="27"/>
      <c r="AH798" s="27"/>
      <c r="AI798" s="28"/>
      <c r="AJ798" s="29"/>
      <c r="AK798" s="29"/>
      <c r="AL798" s="27"/>
      <c r="AM798" s="27"/>
      <c r="AN798" s="27"/>
      <c r="AO798" s="27"/>
      <c r="AP798" s="27"/>
      <c r="AY798" s="27"/>
      <c r="AZ798" s="27"/>
      <c r="BA798" s="27"/>
      <c r="BB798" s="27"/>
      <c r="BC798" s="28"/>
      <c r="BD798" s="29"/>
      <c r="BE798" s="29"/>
      <c r="BF798" s="27"/>
      <c r="BG798" s="27"/>
      <c r="BH798" s="27"/>
      <c r="BI798" s="27"/>
      <c r="BJ798" s="27"/>
      <c r="BK798" s="27"/>
      <c r="BL798" s="27"/>
      <c r="BM798" s="27"/>
    </row>
    <row r="799">
      <c r="I799" s="27"/>
      <c r="J799" s="27"/>
      <c r="K799" s="27"/>
      <c r="L799" s="27"/>
      <c r="M799" s="28"/>
      <c r="N799" s="29"/>
      <c r="O799" s="29"/>
      <c r="P799" s="29"/>
      <c r="Q799" s="27"/>
      <c r="R799" s="27"/>
      <c r="S799" s="27"/>
      <c r="T799" s="27"/>
      <c r="U799" s="27"/>
      <c r="V799" s="27"/>
      <c r="AE799" s="27"/>
      <c r="AF799" s="27"/>
      <c r="AG799" s="27"/>
      <c r="AH799" s="27"/>
      <c r="AI799" s="28"/>
      <c r="AJ799" s="29"/>
      <c r="AK799" s="29"/>
      <c r="AL799" s="27"/>
      <c r="AM799" s="27"/>
      <c r="AN799" s="27"/>
      <c r="AO799" s="27"/>
      <c r="AP799" s="27"/>
      <c r="AY799" s="27"/>
      <c r="AZ799" s="27"/>
      <c r="BA799" s="27"/>
      <c r="BB799" s="27"/>
      <c r="BC799" s="28"/>
      <c r="BD799" s="29"/>
      <c r="BE799" s="29"/>
      <c r="BF799" s="27"/>
      <c r="BG799" s="27"/>
      <c r="BH799" s="27"/>
      <c r="BI799" s="27"/>
      <c r="BJ799" s="27"/>
      <c r="BK799" s="27"/>
      <c r="BL799" s="27"/>
      <c r="BM799" s="27"/>
    </row>
    <row r="800">
      <c r="I800" s="27"/>
      <c r="J800" s="27"/>
      <c r="K800" s="27"/>
      <c r="L800" s="27"/>
      <c r="M800" s="28"/>
      <c r="N800" s="29"/>
      <c r="O800" s="29"/>
      <c r="P800" s="29"/>
      <c r="Q800" s="27"/>
      <c r="R800" s="27"/>
      <c r="S800" s="27"/>
      <c r="T800" s="27"/>
      <c r="U800" s="27"/>
      <c r="V800" s="27"/>
      <c r="AE800" s="27"/>
      <c r="AF800" s="27"/>
      <c r="AG800" s="27"/>
      <c r="AH800" s="27"/>
      <c r="AI800" s="28"/>
      <c r="AJ800" s="29"/>
      <c r="AK800" s="29"/>
      <c r="AL800" s="27"/>
      <c r="AM800" s="27"/>
      <c r="AN800" s="27"/>
      <c r="AO800" s="27"/>
      <c r="AP800" s="27"/>
      <c r="AY800" s="27"/>
      <c r="AZ800" s="27"/>
      <c r="BA800" s="27"/>
      <c r="BB800" s="27"/>
      <c r="BC800" s="28"/>
      <c r="BD800" s="29"/>
      <c r="BE800" s="29"/>
      <c r="BF800" s="27"/>
      <c r="BG800" s="27"/>
      <c r="BH800" s="27"/>
      <c r="BI800" s="27"/>
      <c r="BJ800" s="27"/>
      <c r="BK800" s="27"/>
      <c r="BL800" s="27"/>
      <c r="BM800" s="27"/>
    </row>
    <row r="801">
      <c r="I801" s="27"/>
      <c r="J801" s="27"/>
      <c r="K801" s="27"/>
      <c r="L801" s="27"/>
      <c r="M801" s="28"/>
      <c r="N801" s="29"/>
      <c r="O801" s="29"/>
      <c r="P801" s="29"/>
      <c r="Q801" s="27"/>
      <c r="R801" s="27"/>
      <c r="S801" s="27"/>
      <c r="T801" s="27"/>
      <c r="U801" s="27"/>
      <c r="V801" s="27"/>
      <c r="AE801" s="27"/>
      <c r="AF801" s="27"/>
      <c r="AG801" s="27"/>
      <c r="AH801" s="27"/>
      <c r="AI801" s="28"/>
      <c r="AJ801" s="29"/>
      <c r="AK801" s="29"/>
      <c r="AL801" s="27"/>
      <c r="AM801" s="27"/>
      <c r="AN801" s="27"/>
      <c r="AO801" s="27"/>
      <c r="AP801" s="27"/>
      <c r="AY801" s="27"/>
      <c r="AZ801" s="27"/>
      <c r="BA801" s="27"/>
      <c r="BB801" s="27"/>
      <c r="BC801" s="28"/>
      <c r="BD801" s="29"/>
      <c r="BE801" s="29"/>
      <c r="BF801" s="27"/>
      <c r="BG801" s="27"/>
      <c r="BH801" s="27"/>
      <c r="BI801" s="27"/>
      <c r="BJ801" s="27"/>
      <c r="BK801" s="27"/>
      <c r="BL801" s="27"/>
      <c r="BM801" s="27"/>
    </row>
    <row r="802">
      <c r="I802" s="27"/>
      <c r="J802" s="27"/>
      <c r="K802" s="27"/>
      <c r="L802" s="27"/>
      <c r="M802" s="28"/>
      <c r="N802" s="29"/>
      <c r="O802" s="29"/>
      <c r="P802" s="29"/>
      <c r="Q802" s="27"/>
      <c r="R802" s="27"/>
      <c r="S802" s="27"/>
      <c r="T802" s="27"/>
      <c r="U802" s="27"/>
      <c r="V802" s="27"/>
      <c r="AE802" s="27"/>
      <c r="AF802" s="27"/>
      <c r="AG802" s="27"/>
      <c r="AH802" s="27"/>
      <c r="AI802" s="28"/>
      <c r="AJ802" s="29"/>
      <c r="AK802" s="29"/>
      <c r="AL802" s="27"/>
      <c r="AM802" s="27"/>
      <c r="AN802" s="27"/>
      <c r="AO802" s="27"/>
      <c r="AP802" s="27"/>
      <c r="AY802" s="27"/>
      <c r="AZ802" s="27"/>
      <c r="BA802" s="27"/>
      <c r="BB802" s="27"/>
      <c r="BC802" s="28"/>
      <c r="BD802" s="29"/>
      <c r="BE802" s="29"/>
      <c r="BF802" s="27"/>
      <c r="BG802" s="27"/>
      <c r="BH802" s="27"/>
      <c r="BI802" s="27"/>
      <c r="BJ802" s="27"/>
      <c r="BK802" s="27"/>
      <c r="BL802" s="27"/>
      <c r="BM802" s="27"/>
    </row>
    <row r="803">
      <c r="I803" s="27"/>
      <c r="J803" s="27"/>
      <c r="K803" s="27"/>
      <c r="L803" s="27"/>
      <c r="M803" s="28"/>
      <c r="N803" s="29"/>
      <c r="O803" s="29"/>
      <c r="P803" s="29"/>
      <c r="Q803" s="27"/>
      <c r="R803" s="27"/>
      <c r="S803" s="27"/>
      <c r="T803" s="27"/>
      <c r="U803" s="27"/>
      <c r="V803" s="27"/>
      <c r="AE803" s="27"/>
      <c r="AF803" s="27"/>
      <c r="AG803" s="27"/>
      <c r="AH803" s="27"/>
      <c r="AI803" s="28"/>
      <c r="AJ803" s="29"/>
      <c r="AK803" s="29"/>
      <c r="AL803" s="27"/>
      <c r="AM803" s="27"/>
      <c r="AN803" s="27"/>
      <c r="AO803" s="27"/>
      <c r="AP803" s="27"/>
      <c r="AY803" s="27"/>
      <c r="AZ803" s="27"/>
      <c r="BA803" s="27"/>
      <c r="BB803" s="27"/>
      <c r="BC803" s="28"/>
      <c r="BD803" s="29"/>
      <c r="BE803" s="29"/>
      <c r="BF803" s="27"/>
      <c r="BG803" s="27"/>
      <c r="BH803" s="27"/>
      <c r="BI803" s="27"/>
      <c r="BJ803" s="27"/>
      <c r="BK803" s="27"/>
      <c r="BL803" s="27"/>
      <c r="BM803" s="27"/>
    </row>
    <row r="804">
      <c r="I804" s="27"/>
      <c r="J804" s="27"/>
      <c r="K804" s="27"/>
      <c r="L804" s="27"/>
      <c r="M804" s="28"/>
      <c r="N804" s="29"/>
      <c r="O804" s="29"/>
      <c r="P804" s="29"/>
      <c r="Q804" s="27"/>
      <c r="R804" s="27"/>
      <c r="S804" s="27"/>
      <c r="T804" s="27"/>
      <c r="U804" s="27"/>
      <c r="V804" s="27"/>
      <c r="AE804" s="27"/>
      <c r="AF804" s="27"/>
      <c r="AG804" s="27"/>
      <c r="AH804" s="27"/>
      <c r="AI804" s="28"/>
      <c r="AJ804" s="29"/>
      <c r="AK804" s="29"/>
      <c r="AL804" s="27"/>
      <c r="AM804" s="27"/>
      <c r="AN804" s="27"/>
      <c r="AO804" s="27"/>
      <c r="AP804" s="27"/>
      <c r="AY804" s="27"/>
      <c r="AZ804" s="27"/>
      <c r="BA804" s="27"/>
      <c r="BB804" s="27"/>
      <c r="BC804" s="28"/>
      <c r="BD804" s="29"/>
      <c r="BE804" s="29"/>
      <c r="BF804" s="27"/>
      <c r="BG804" s="27"/>
      <c r="BH804" s="27"/>
      <c r="BI804" s="27"/>
      <c r="BJ804" s="27"/>
      <c r="BK804" s="27"/>
      <c r="BL804" s="27"/>
      <c r="BM804" s="27"/>
    </row>
    <row r="805">
      <c r="I805" s="27"/>
      <c r="J805" s="27"/>
      <c r="K805" s="27"/>
      <c r="L805" s="27"/>
      <c r="M805" s="28"/>
      <c r="N805" s="29"/>
      <c r="O805" s="29"/>
      <c r="P805" s="29"/>
      <c r="Q805" s="27"/>
      <c r="R805" s="27"/>
      <c r="S805" s="27"/>
      <c r="T805" s="27"/>
      <c r="U805" s="27"/>
      <c r="V805" s="27"/>
      <c r="AE805" s="27"/>
      <c r="AF805" s="27"/>
      <c r="AG805" s="27"/>
      <c r="AH805" s="27"/>
      <c r="AI805" s="28"/>
      <c r="AJ805" s="29"/>
      <c r="AK805" s="29"/>
      <c r="AL805" s="27"/>
      <c r="AM805" s="27"/>
      <c r="AN805" s="27"/>
      <c r="AO805" s="27"/>
      <c r="AP805" s="27"/>
      <c r="AY805" s="27"/>
      <c r="AZ805" s="27"/>
      <c r="BA805" s="27"/>
      <c r="BB805" s="27"/>
      <c r="BC805" s="28"/>
      <c r="BD805" s="29"/>
      <c r="BE805" s="29"/>
      <c r="BF805" s="27"/>
      <c r="BG805" s="27"/>
      <c r="BH805" s="27"/>
      <c r="BI805" s="27"/>
      <c r="BJ805" s="27"/>
      <c r="BK805" s="27"/>
      <c r="BL805" s="27"/>
      <c r="BM805" s="27"/>
    </row>
    <row r="806">
      <c r="I806" s="27"/>
      <c r="J806" s="27"/>
      <c r="K806" s="27"/>
      <c r="L806" s="27"/>
      <c r="M806" s="28"/>
      <c r="N806" s="29"/>
      <c r="O806" s="29"/>
      <c r="P806" s="29"/>
      <c r="Q806" s="27"/>
      <c r="R806" s="27"/>
      <c r="S806" s="27"/>
      <c r="T806" s="27"/>
      <c r="U806" s="27"/>
      <c r="V806" s="27"/>
      <c r="AE806" s="27"/>
      <c r="AF806" s="27"/>
      <c r="AG806" s="27"/>
      <c r="AH806" s="27"/>
      <c r="AI806" s="28"/>
      <c r="AJ806" s="29"/>
      <c r="AK806" s="29"/>
      <c r="AL806" s="27"/>
      <c r="AM806" s="27"/>
      <c r="AN806" s="27"/>
      <c r="AO806" s="27"/>
      <c r="AP806" s="27"/>
      <c r="AY806" s="27"/>
      <c r="AZ806" s="27"/>
      <c r="BA806" s="27"/>
      <c r="BB806" s="27"/>
      <c r="BC806" s="28"/>
      <c r="BD806" s="29"/>
      <c r="BE806" s="29"/>
      <c r="BF806" s="27"/>
      <c r="BG806" s="27"/>
      <c r="BH806" s="27"/>
      <c r="BI806" s="27"/>
      <c r="BJ806" s="27"/>
      <c r="BK806" s="27"/>
      <c r="BL806" s="27"/>
      <c r="BM806" s="27"/>
    </row>
    <row r="807">
      <c r="I807" s="27"/>
      <c r="J807" s="27"/>
      <c r="K807" s="27"/>
      <c r="L807" s="27"/>
      <c r="M807" s="28"/>
      <c r="N807" s="29"/>
      <c r="O807" s="29"/>
      <c r="P807" s="29"/>
      <c r="Q807" s="27"/>
      <c r="R807" s="27"/>
      <c r="S807" s="27"/>
      <c r="T807" s="27"/>
      <c r="U807" s="27"/>
      <c r="V807" s="27"/>
      <c r="AE807" s="27"/>
      <c r="AF807" s="27"/>
      <c r="AG807" s="27"/>
      <c r="AH807" s="27"/>
      <c r="AI807" s="28"/>
      <c r="AJ807" s="29"/>
      <c r="AK807" s="29"/>
      <c r="AL807" s="27"/>
      <c r="AM807" s="27"/>
      <c r="AN807" s="27"/>
      <c r="AO807" s="27"/>
      <c r="AP807" s="27"/>
      <c r="AY807" s="27"/>
      <c r="AZ807" s="27"/>
      <c r="BA807" s="27"/>
      <c r="BB807" s="27"/>
      <c r="BC807" s="28"/>
      <c r="BD807" s="29"/>
      <c r="BE807" s="29"/>
      <c r="BF807" s="27"/>
      <c r="BG807" s="27"/>
      <c r="BH807" s="27"/>
      <c r="BI807" s="27"/>
      <c r="BJ807" s="27"/>
      <c r="BK807" s="27"/>
      <c r="BL807" s="27"/>
      <c r="BM807" s="27"/>
    </row>
    <row r="808">
      <c r="I808" s="27"/>
      <c r="J808" s="27"/>
      <c r="K808" s="27"/>
      <c r="L808" s="27"/>
      <c r="M808" s="28"/>
      <c r="N808" s="29"/>
      <c r="O808" s="29"/>
      <c r="P808" s="29"/>
      <c r="Q808" s="27"/>
      <c r="R808" s="27"/>
      <c r="S808" s="27"/>
      <c r="T808" s="27"/>
      <c r="U808" s="27"/>
      <c r="V808" s="27"/>
      <c r="AE808" s="27"/>
      <c r="AF808" s="27"/>
      <c r="AG808" s="27"/>
      <c r="AH808" s="27"/>
      <c r="AI808" s="28"/>
      <c r="AJ808" s="29"/>
      <c r="AK808" s="29"/>
      <c r="AL808" s="27"/>
      <c r="AM808" s="27"/>
      <c r="AN808" s="27"/>
      <c r="AO808" s="27"/>
      <c r="AP808" s="27"/>
      <c r="AY808" s="27"/>
      <c r="AZ808" s="27"/>
      <c r="BA808" s="27"/>
      <c r="BB808" s="27"/>
      <c r="BC808" s="28"/>
      <c r="BD808" s="29"/>
      <c r="BE808" s="29"/>
      <c r="BF808" s="27"/>
      <c r="BG808" s="27"/>
      <c r="BH808" s="27"/>
      <c r="BI808" s="27"/>
      <c r="BJ808" s="27"/>
      <c r="BK808" s="27"/>
      <c r="BL808" s="27"/>
      <c r="BM808" s="27"/>
    </row>
    <row r="809">
      <c r="I809" s="27"/>
      <c r="J809" s="27"/>
      <c r="K809" s="27"/>
      <c r="L809" s="27"/>
      <c r="M809" s="28"/>
      <c r="N809" s="29"/>
      <c r="O809" s="29"/>
      <c r="P809" s="29"/>
      <c r="Q809" s="27"/>
      <c r="R809" s="27"/>
      <c r="S809" s="27"/>
      <c r="T809" s="27"/>
      <c r="U809" s="27"/>
      <c r="V809" s="27"/>
      <c r="AE809" s="27"/>
      <c r="AF809" s="27"/>
      <c r="AG809" s="27"/>
      <c r="AH809" s="27"/>
      <c r="AI809" s="28"/>
      <c r="AJ809" s="29"/>
      <c r="AK809" s="29"/>
      <c r="AL809" s="27"/>
      <c r="AM809" s="27"/>
      <c r="AN809" s="27"/>
      <c r="AO809" s="27"/>
      <c r="AP809" s="27"/>
      <c r="AY809" s="27"/>
      <c r="AZ809" s="27"/>
      <c r="BA809" s="27"/>
      <c r="BB809" s="27"/>
      <c r="BC809" s="28"/>
      <c r="BD809" s="29"/>
      <c r="BE809" s="29"/>
      <c r="BF809" s="27"/>
      <c r="BG809" s="27"/>
      <c r="BH809" s="27"/>
      <c r="BI809" s="27"/>
      <c r="BJ809" s="27"/>
      <c r="BK809" s="27"/>
      <c r="BL809" s="27"/>
      <c r="BM809" s="27"/>
    </row>
    <row r="810">
      <c r="I810" s="27"/>
      <c r="J810" s="27"/>
      <c r="K810" s="27"/>
      <c r="L810" s="27"/>
      <c r="M810" s="28"/>
      <c r="N810" s="29"/>
      <c r="O810" s="29"/>
      <c r="P810" s="29"/>
      <c r="Q810" s="27"/>
      <c r="R810" s="27"/>
      <c r="S810" s="27"/>
      <c r="T810" s="27"/>
      <c r="U810" s="27"/>
      <c r="V810" s="27"/>
      <c r="AE810" s="27"/>
      <c r="AF810" s="27"/>
      <c r="AG810" s="27"/>
      <c r="AH810" s="27"/>
      <c r="AI810" s="28"/>
      <c r="AJ810" s="29"/>
      <c r="AK810" s="29"/>
      <c r="AL810" s="27"/>
      <c r="AM810" s="27"/>
      <c r="AN810" s="27"/>
      <c r="AO810" s="27"/>
      <c r="AP810" s="27"/>
      <c r="AY810" s="27"/>
      <c r="AZ810" s="27"/>
      <c r="BA810" s="27"/>
      <c r="BB810" s="27"/>
      <c r="BC810" s="28"/>
      <c r="BD810" s="29"/>
      <c r="BE810" s="29"/>
      <c r="BF810" s="27"/>
      <c r="BG810" s="27"/>
      <c r="BH810" s="27"/>
      <c r="BI810" s="27"/>
      <c r="BJ810" s="27"/>
      <c r="BK810" s="27"/>
      <c r="BL810" s="27"/>
      <c r="BM810" s="27"/>
    </row>
    <row r="811">
      <c r="I811" s="27"/>
      <c r="J811" s="27"/>
      <c r="K811" s="27"/>
      <c r="L811" s="27"/>
      <c r="M811" s="28"/>
      <c r="N811" s="29"/>
      <c r="O811" s="29"/>
      <c r="P811" s="29"/>
      <c r="Q811" s="27"/>
      <c r="R811" s="27"/>
      <c r="S811" s="27"/>
      <c r="T811" s="27"/>
      <c r="U811" s="27"/>
      <c r="V811" s="27"/>
      <c r="AE811" s="27"/>
      <c r="AF811" s="27"/>
      <c r="AG811" s="27"/>
      <c r="AH811" s="27"/>
      <c r="AI811" s="28"/>
      <c r="AJ811" s="29"/>
      <c r="AK811" s="29"/>
      <c r="AL811" s="27"/>
      <c r="AM811" s="27"/>
      <c r="AN811" s="27"/>
      <c r="AO811" s="27"/>
      <c r="AP811" s="27"/>
      <c r="AY811" s="27"/>
      <c r="AZ811" s="27"/>
      <c r="BA811" s="27"/>
      <c r="BB811" s="27"/>
      <c r="BC811" s="28"/>
      <c r="BD811" s="29"/>
      <c r="BE811" s="29"/>
      <c r="BF811" s="27"/>
      <c r="BG811" s="27"/>
      <c r="BH811" s="27"/>
      <c r="BI811" s="27"/>
      <c r="BJ811" s="27"/>
      <c r="BK811" s="27"/>
      <c r="BL811" s="27"/>
      <c r="BM811" s="27"/>
    </row>
    <row r="812">
      <c r="I812" s="27"/>
      <c r="J812" s="27"/>
      <c r="K812" s="27"/>
      <c r="L812" s="27"/>
      <c r="M812" s="28"/>
      <c r="N812" s="29"/>
      <c r="O812" s="29"/>
      <c r="P812" s="29"/>
      <c r="Q812" s="27"/>
      <c r="R812" s="27"/>
      <c r="S812" s="27"/>
      <c r="T812" s="27"/>
      <c r="U812" s="27"/>
      <c r="V812" s="27"/>
      <c r="AE812" s="27"/>
      <c r="AF812" s="27"/>
      <c r="AG812" s="27"/>
      <c r="AH812" s="27"/>
      <c r="AI812" s="28"/>
      <c r="AJ812" s="29"/>
      <c r="AK812" s="29"/>
      <c r="AL812" s="27"/>
      <c r="AM812" s="27"/>
      <c r="AN812" s="27"/>
      <c r="AO812" s="27"/>
      <c r="AP812" s="27"/>
      <c r="AY812" s="27"/>
      <c r="AZ812" s="27"/>
      <c r="BA812" s="27"/>
      <c r="BB812" s="27"/>
      <c r="BC812" s="28"/>
      <c r="BD812" s="29"/>
      <c r="BE812" s="29"/>
      <c r="BF812" s="27"/>
      <c r="BG812" s="27"/>
      <c r="BH812" s="27"/>
      <c r="BI812" s="27"/>
      <c r="BJ812" s="27"/>
      <c r="BK812" s="27"/>
      <c r="BL812" s="27"/>
      <c r="BM812" s="27"/>
    </row>
    <row r="813">
      <c r="I813" s="27"/>
      <c r="J813" s="27"/>
      <c r="K813" s="27"/>
      <c r="L813" s="27"/>
      <c r="M813" s="28"/>
      <c r="N813" s="29"/>
      <c r="O813" s="29"/>
      <c r="P813" s="29"/>
      <c r="Q813" s="27"/>
      <c r="R813" s="27"/>
      <c r="S813" s="27"/>
      <c r="T813" s="27"/>
      <c r="U813" s="27"/>
      <c r="V813" s="27"/>
      <c r="AE813" s="27"/>
      <c r="AF813" s="27"/>
      <c r="AG813" s="27"/>
      <c r="AH813" s="27"/>
      <c r="AI813" s="28"/>
      <c r="AJ813" s="29"/>
      <c r="AK813" s="29"/>
      <c r="AL813" s="27"/>
      <c r="AM813" s="27"/>
      <c r="AN813" s="27"/>
      <c r="AO813" s="27"/>
      <c r="AP813" s="27"/>
      <c r="AY813" s="27"/>
      <c r="AZ813" s="27"/>
      <c r="BA813" s="27"/>
      <c r="BB813" s="27"/>
      <c r="BC813" s="28"/>
      <c r="BD813" s="29"/>
      <c r="BE813" s="29"/>
      <c r="BF813" s="27"/>
      <c r="BG813" s="27"/>
      <c r="BH813" s="27"/>
      <c r="BI813" s="27"/>
      <c r="BJ813" s="27"/>
      <c r="BK813" s="27"/>
      <c r="BL813" s="27"/>
      <c r="BM813" s="27"/>
    </row>
    <row r="814">
      <c r="I814" s="27"/>
      <c r="J814" s="27"/>
      <c r="K814" s="27"/>
      <c r="L814" s="27"/>
      <c r="M814" s="28"/>
      <c r="N814" s="29"/>
      <c r="O814" s="29"/>
      <c r="P814" s="29"/>
      <c r="Q814" s="27"/>
      <c r="R814" s="27"/>
      <c r="S814" s="27"/>
      <c r="T814" s="27"/>
      <c r="U814" s="27"/>
      <c r="V814" s="27"/>
      <c r="AE814" s="27"/>
      <c r="AF814" s="27"/>
      <c r="AG814" s="27"/>
      <c r="AH814" s="27"/>
      <c r="AI814" s="28"/>
      <c r="AJ814" s="29"/>
      <c r="AK814" s="29"/>
      <c r="AL814" s="27"/>
      <c r="AM814" s="27"/>
      <c r="AN814" s="27"/>
      <c r="AO814" s="27"/>
      <c r="AP814" s="27"/>
      <c r="AY814" s="27"/>
      <c r="AZ814" s="27"/>
      <c r="BA814" s="27"/>
      <c r="BB814" s="27"/>
      <c r="BC814" s="28"/>
      <c r="BD814" s="29"/>
      <c r="BE814" s="29"/>
      <c r="BF814" s="27"/>
      <c r="BG814" s="27"/>
      <c r="BH814" s="27"/>
      <c r="BI814" s="27"/>
      <c r="BJ814" s="27"/>
      <c r="BK814" s="27"/>
      <c r="BL814" s="27"/>
      <c r="BM814" s="27"/>
    </row>
    <row r="815">
      <c r="I815" s="27"/>
      <c r="J815" s="27"/>
      <c r="K815" s="27"/>
      <c r="L815" s="27"/>
      <c r="M815" s="28"/>
      <c r="N815" s="29"/>
      <c r="O815" s="29"/>
      <c r="P815" s="29"/>
      <c r="Q815" s="27"/>
      <c r="R815" s="27"/>
      <c r="S815" s="27"/>
      <c r="T815" s="27"/>
      <c r="U815" s="27"/>
      <c r="V815" s="27"/>
      <c r="AE815" s="27"/>
      <c r="AF815" s="27"/>
      <c r="AG815" s="27"/>
      <c r="AH815" s="27"/>
      <c r="AI815" s="28"/>
      <c r="AJ815" s="29"/>
      <c r="AK815" s="29"/>
      <c r="AL815" s="27"/>
      <c r="AM815" s="27"/>
      <c r="AN815" s="27"/>
      <c r="AO815" s="27"/>
      <c r="AP815" s="27"/>
      <c r="AY815" s="27"/>
      <c r="AZ815" s="27"/>
      <c r="BA815" s="27"/>
      <c r="BB815" s="27"/>
      <c r="BC815" s="28"/>
      <c r="BD815" s="29"/>
      <c r="BE815" s="29"/>
      <c r="BF815" s="27"/>
      <c r="BG815" s="27"/>
      <c r="BH815" s="27"/>
      <c r="BI815" s="27"/>
      <c r="BJ815" s="27"/>
      <c r="BK815" s="27"/>
      <c r="BL815" s="27"/>
      <c r="BM815" s="27"/>
    </row>
    <row r="816">
      <c r="I816" s="27"/>
      <c r="J816" s="27"/>
      <c r="K816" s="27"/>
      <c r="L816" s="27"/>
      <c r="M816" s="28"/>
      <c r="N816" s="29"/>
      <c r="O816" s="29"/>
      <c r="P816" s="29"/>
      <c r="Q816" s="27"/>
      <c r="R816" s="27"/>
      <c r="S816" s="27"/>
      <c r="T816" s="27"/>
      <c r="U816" s="27"/>
      <c r="V816" s="27"/>
      <c r="AE816" s="27"/>
      <c r="AF816" s="27"/>
      <c r="AG816" s="27"/>
      <c r="AH816" s="27"/>
      <c r="AI816" s="28"/>
      <c r="AJ816" s="29"/>
      <c r="AK816" s="29"/>
      <c r="AL816" s="27"/>
      <c r="AM816" s="27"/>
      <c r="AN816" s="27"/>
      <c r="AO816" s="27"/>
      <c r="AP816" s="27"/>
      <c r="AY816" s="27"/>
      <c r="AZ816" s="27"/>
      <c r="BA816" s="27"/>
      <c r="BB816" s="27"/>
      <c r="BC816" s="28"/>
      <c r="BD816" s="29"/>
      <c r="BE816" s="29"/>
      <c r="BF816" s="27"/>
      <c r="BG816" s="27"/>
      <c r="BH816" s="27"/>
      <c r="BI816" s="27"/>
      <c r="BJ816" s="27"/>
      <c r="BK816" s="27"/>
      <c r="BL816" s="27"/>
      <c r="BM816" s="27"/>
    </row>
    <row r="817">
      <c r="I817" s="27"/>
      <c r="J817" s="27"/>
      <c r="K817" s="27"/>
      <c r="L817" s="27"/>
      <c r="M817" s="28"/>
      <c r="N817" s="29"/>
      <c r="O817" s="29"/>
      <c r="P817" s="29"/>
      <c r="Q817" s="27"/>
      <c r="R817" s="27"/>
      <c r="S817" s="27"/>
      <c r="T817" s="27"/>
      <c r="U817" s="27"/>
      <c r="V817" s="27"/>
      <c r="AE817" s="27"/>
      <c r="AF817" s="27"/>
      <c r="AG817" s="27"/>
      <c r="AH817" s="27"/>
      <c r="AI817" s="28"/>
      <c r="AJ817" s="29"/>
      <c r="AK817" s="29"/>
      <c r="AL817" s="27"/>
      <c r="AM817" s="27"/>
      <c r="AN817" s="27"/>
      <c r="AO817" s="27"/>
      <c r="AP817" s="27"/>
      <c r="AY817" s="27"/>
      <c r="AZ817" s="27"/>
      <c r="BA817" s="27"/>
      <c r="BB817" s="27"/>
      <c r="BC817" s="28"/>
      <c r="BD817" s="29"/>
      <c r="BE817" s="29"/>
      <c r="BF817" s="27"/>
      <c r="BG817" s="27"/>
      <c r="BH817" s="27"/>
      <c r="BI817" s="27"/>
      <c r="BJ817" s="27"/>
      <c r="BK817" s="27"/>
      <c r="BL817" s="27"/>
      <c r="BM817" s="27"/>
    </row>
    <row r="818">
      <c r="I818" s="27"/>
      <c r="J818" s="27"/>
      <c r="K818" s="27"/>
      <c r="L818" s="27"/>
      <c r="M818" s="28"/>
      <c r="N818" s="29"/>
      <c r="O818" s="29"/>
      <c r="P818" s="29"/>
      <c r="Q818" s="27"/>
      <c r="R818" s="27"/>
      <c r="S818" s="27"/>
      <c r="T818" s="27"/>
      <c r="U818" s="27"/>
      <c r="V818" s="27"/>
      <c r="AE818" s="27"/>
      <c r="AF818" s="27"/>
      <c r="AG818" s="27"/>
      <c r="AH818" s="27"/>
      <c r="AI818" s="28"/>
      <c r="AJ818" s="29"/>
      <c r="AK818" s="29"/>
      <c r="AL818" s="27"/>
      <c r="AM818" s="27"/>
      <c r="AN818" s="27"/>
      <c r="AO818" s="27"/>
      <c r="AP818" s="27"/>
      <c r="AY818" s="27"/>
      <c r="AZ818" s="27"/>
      <c r="BA818" s="27"/>
      <c r="BB818" s="27"/>
      <c r="BC818" s="28"/>
      <c r="BD818" s="29"/>
      <c r="BE818" s="29"/>
      <c r="BF818" s="27"/>
      <c r="BG818" s="27"/>
      <c r="BH818" s="27"/>
      <c r="BI818" s="27"/>
      <c r="BJ818" s="27"/>
      <c r="BK818" s="27"/>
      <c r="BL818" s="27"/>
      <c r="BM818" s="27"/>
    </row>
    <row r="819">
      <c r="I819" s="27"/>
      <c r="J819" s="27"/>
      <c r="K819" s="27"/>
      <c r="L819" s="27"/>
      <c r="M819" s="28"/>
      <c r="N819" s="29"/>
      <c r="O819" s="29"/>
      <c r="P819" s="29"/>
      <c r="Q819" s="27"/>
      <c r="R819" s="27"/>
      <c r="S819" s="27"/>
      <c r="T819" s="27"/>
      <c r="U819" s="27"/>
      <c r="V819" s="27"/>
      <c r="AE819" s="27"/>
      <c r="AF819" s="27"/>
      <c r="AG819" s="27"/>
      <c r="AH819" s="27"/>
      <c r="AI819" s="28"/>
      <c r="AJ819" s="29"/>
      <c r="AK819" s="29"/>
      <c r="AL819" s="27"/>
      <c r="AM819" s="27"/>
      <c r="AN819" s="27"/>
      <c r="AO819" s="27"/>
      <c r="AP819" s="27"/>
      <c r="AY819" s="27"/>
      <c r="AZ819" s="27"/>
      <c r="BA819" s="27"/>
      <c r="BB819" s="27"/>
      <c r="BC819" s="28"/>
      <c r="BD819" s="29"/>
      <c r="BE819" s="29"/>
      <c r="BF819" s="27"/>
      <c r="BG819" s="27"/>
      <c r="BH819" s="27"/>
      <c r="BI819" s="27"/>
      <c r="BJ819" s="27"/>
      <c r="BK819" s="27"/>
      <c r="BL819" s="27"/>
      <c r="BM819" s="27"/>
    </row>
    <row r="820">
      <c r="I820" s="27"/>
      <c r="J820" s="27"/>
      <c r="K820" s="27"/>
      <c r="L820" s="27"/>
      <c r="M820" s="28"/>
      <c r="N820" s="29"/>
      <c r="O820" s="29"/>
      <c r="P820" s="29"/>
      <c r="Q820" s="27"/>
      <c r="R820" s="27"/>
      <c r="S820" s="27"/>
      <c r="T820" s="27"/>
      <c r="U820" s="27"/>
      <c r="V820" s="27"/>
      <c r="AE820" s="27"/>
      <c r="AF820" s="27"/>
      <c r="AG820" s="27"/>
      <c r="AH820" s="27"/>
      <c r="AI820" s="28"/>
      <c r="AJ820" s="29"/>
      <c r="AK820" s="29"/>
      <c r="AL820" s="27"/>
      <c r="AM820" s="27"/>
      <c r="AN820" s="27"/>
      <c r="AO820" s="27"/>
      <c r="AP820" s="27"/>
      <c r="AY820" s="27"/>
      <c r="AZ820" s="27"/>
      <c r="BA820" s="27"/>
      <c r="BB820" s="27"/>
      <c r="BC820" s="28"/>
      <c r="BD820" s="29"/>
      <c r="BE820" s="29"/>
      <c r="BF820" s="27"/>
      <c r="BG820" s="27"/>
      <c r="BH820" s="27"/>
      <c r="BI820" s="27"/>
      <c r="BJ820" s="27"/>
      <c r="BK820" s="27"/>
      <c r="BL820" s="27"/>
      <c r="BM820" s="27"/>
    </row>
    <row r="821">
      <c r="I821" s="27"/>
      <c r="J821" s="27"/>
      <c r="K821" s="27"/>
      <c r="L821" s="27"/>
      <c r="M821" s="28"/>
      <c r="N821" s="29"/>
      <c r="O821" s="29"/>
      <c r="P821" s="29"/>
      <c r="Q821" s="27"/>
      <c r="R821" s="27"/>
      <c r="S821" s="27"/>
      <c r="T821" s="27"/>
      <c r="U821" s="27"/>
      <c r="V821" s="27"/>
      <c r="AE821" s="27"/>
      <c r="AF821" s="27"/>
      <c r="AG821" s="27"/>
      <c r="AH821" s="27"/>
      <c r="AI821" s="28"/>
      <c r="AJ821" s="29"/>
      <c r="AK821" s="29"/>
      <c r="AL821" s="27"/>
      <c r="AM821" s="27"/>
      <c r="AN821" s="27"/>
      <c r="AO821" s="27"/>
      <c r="AP821" s="27"/>
      <c r="AY821" s="27"/>
      <c r="AZ821" s="27"/>
      <c r="BA821" s="27"/>
      <c r="BB821" s="27"/>
      <c r="BC821" s="28"/>
      <c r="BD821" s="29"/>
      <c r="BE821" s="29"/>
      <c r="BF821" s="27"/>
      <c r="BG821" s="27"/>
      <c r="BH821" s="27"/>
      <c r="BI821" s="27"/>
      <c r="BJ821" s="27"/>
      <c r="BK821" s="27"/>
      <c r="BL821" s="27"/>
      <c r="BM821" s="27"/>
    </row>
    <row r="822">
      <c r="I822" s="27"/>
      <c r="J822" s="27"/>
      <c r="K822" s="27"/>
      <c r="L822" s="27"/>
      <c r="M822" s="28"/>
      <c r="N822" s="29"/>
      <c r="O822" s="29"/>
      <c r="P822" s="29"/>
      <c r="Q822" s="27"/>
      <c r="R822" s="27"/>
      <c r="S822" s="27"/>
      <c r="T822" s="27"/>
      <c r="U822" s="27"/>
      <c r="V822" s="27"/>
      <c r="AE822" s="27"/>
      <c r="AF822" s="27"/>
      <c r="AG822" s="27"/>
      <c r="AH822" s="27"/>
      <c r="AI822" s="28"/>
      <c r="AJ822" s="29"/>
      <c r="AK822" s="29"/>
      <c r="AL822" s="27"/>
      <c r="AM822" s="27"/>
      <c r="AN822" s="27"/>
      <c r="AO822" s="27"/>
      <c r="AP822" s="27"/>
      <c r="AY822" s="27"/>
      <c r="AZ822" s="27"/>
      <c r="BA822" s="27"/>
      <c r="BB822" s="27"/>
      <c r="BC822" s="28"/>
      <c r="BD822" s="29"/>
      <c r="BE822" s="29"/>
      <c r="BF822" s="27"/>
      <c r="BG822" s="27"/>
      <c r="BH822" s="27"/>
      <c r="BI822" s="27"/>
      <c r="BJ822" s="27"/>
      <c r="BK822" s="27"/>
      <c r="BL822" s="27"/>
      <c r="BM822" s="27"/>
    </row>
    <row r="823">
      <c r="I823" s="27"/>
      <c r="J823" s="27"/>
      <c r="K823" s="27"/>
      <c r="L823" s="27"/>
      <c r="M823" s="28"/>
      <c r="N823" s="29"/>
      <c r="O823" s="29"/>
      <c r="P823" s="29"/>
      <c r="Q823" s="27"/>
      <c r="R823" s="27"/>
      <c r="S823" s="27"/>
      <c r="T823" s="27"/>
      <c r="U823" s="27"/>
      <c r="V823" s="27"/>
      <c r="AE823" s="27"/>
      <c r="AF823" s="27"/>
      <c r="AG823" s="27"/>
      <c r="AH823" s="27"/>
      <c r="AI823" s="28"/>
      <c r="AJ823" s="29"/>
      <c r="AK823" s="29"/>
      <c r="AL823" s="27"/>
      <c r="AM823" s="27"/>
      <c r="AN823" s="27"/>
      <c r="AO823" s="27"/>
      <c r="AP823" s="27"/>
      <c r="AY823" s="27"/>
      <c r="AZ823" s="27"/>
      <c r="BA823" s="27"/>
      <c r="BB823" s="27"/>
      <c r="BC823" s="28"/>
      <c r="BD823" s="29"/>
      <c r="BE823" s="29"/>
      <c r="BF823" s="27"/>
      <c r="BG823" s="27"/>
      <c r="BH823" s="27"/>
      <c r="BI823" s="27"/>
      <c r="BJ823" s="27"/>
      <c r="BK823" s="27"/>
      <c r="BL823" s="27"/>
      <c r="BM823" s="27"/>
    </row>
    <row r="824">
      <c r="I824" s="27"/>
      <c r="J824" s="27"/>
      <c r="K824" s="27"/>
      <c r="L824" s="27"/>
      <c r="M824" s="28"/>
      <c r="N824" s="29"/>
      <c r="O824" s="29"/>
      <c r="P824" s="29"/>
      <c r="Q824" s="27"/>
      <c r="R824" s="27"/>
      <c r="S824" s="27"/>
      <c r="T824" s="27"/>
      <c r="U824" s="27"/>
      <c r="V824" s="27"/>
      <c r="AE824" s="27"/>
      <c r="AF824" s="27"/>
      <c r="AG824" s="27"/>
      <c r="AH824" s="27"/>
      <c r="AI824" s="28"/>
      <c r="AJ824" s="29"/>
      <c r="AK824" s="29"/>
      <c r="AL824" s="27"/>
      <c r="AM824" s="27"/>
      <c r="AN824" s="27"/>
      <c r="AO824" s="27"/>
      <c r="AP824" s="27"/>
      <c r="AY824" s="27"/>
      <c r="AZ824" s="27"/>
      <c r="BA824" s="27"/>
      <c r="BB824" s="27"/>
      <c r="BC824" s="28"/>
      <c r="BD824" s="29"/>
      <c r="BE824" s="29"/>
      <c r="BF824" s="27"/>
      <c r="BG824" s="27"/>
      <c r="BH824" s="27"/>
      <c r="BI824" s="27"/>
      <c r="BJ824" s="27"/>
      <c r="BK824" s="27"/>
      <c r="BL824" s="27"/>
      <c r="BM824" s="27"/>
    </row>
    <row r="825">
      <c r="I825" s="27"/>
      <c r="J825" s="27"/>
      <c r="K825" s="27"/>
      <c r="L825" s="27"/>
      <c r="M825" s="28"/>
      <c r="N825" s="29"/>
      <c r="O825" s="29"/>
      <c r="P825" s="29"/>
      <c r="Q825" s="27"/>
      <c r="R825" s="27"/>
      <c r="S825" s="27"/>
      <c r="T825" s="27"/>
      <c r="U825" s="27"/>
      <c r="V825" s="27"/>
      <c r="AE825" s="27"/>
      <c r="AF825" s="27"/>
      <c r="AG825" s="27"/>
      <c r="AH825" s="27"/>
      <c r="AI825" s="28"/>
      <c r="AJ825" s="29"/>
      <c r="AK825" s="29"/>
      <c r="AL825" s="27"/>
      <c r="AM825" s="27"/>
      <c r="AN825" s="27"/>
      <c r="AO825" s="27"/>
      <c r="AP825" s="27"/>
      <c r="AY825" s="27"/>
      <c r="AZ825" s="27"/>
      <c r="BA825" s="27"/>
      <c r="BB825" s="27"/>
      <c r="BC825" s="28"/>
      <c r="BD825" s="29"/>
      <c r="BE825" s="29"/>
      <c r="BF825" s="27"/>
      <c r="BG825" s="27"/>
      <c r="BH825" s="27"/>
      <c r="BI825" s="27"/>
      <c r="BJ825" s="27"/>
      <c r="BK825" s="27"/>
      <c r="BL825" s="27"/>
      <c r="BM825" s="27"/>
    </row>
    <row r="826">
      <c r="I826" s="27"/>
      <c r="J826" s="27"/>
      <c r="K826" s="27"/>
      <c r="L826" s="27"/>
      <c r="M826" s="28"/>
      <c r="N826" s="29"/>
      <c r="O826" s="29"/>
      <c r="P826" s="29"/>
      <c r="Q826" s="27"/>
      <c r="R826" s="27"/>
      <c r="S826" s="27"/>
      <c r="T826" s="27"/>
      <c r="U826" s="27"/>
      <c r="V826" s="27"/>
      <c r="AE826" s="27"/>
      <c r="AF826" s="27"/>
      <c r="AG826" s="27"/>
      <c r="AH826" s="27"/>
      <c r="AI826" s="28"/>
      <c r="AJ826" s="29"/>
      <c r="AK826" s="29"/>
      <c r="AL826" s="27"/>
      <c r="AM826" s="27"/>
      <c r="AN826" s="27"/>
      <c r="AO826" s="27"/>
      <c r="AP826" s="27"/>
      <c r="AY826" s="27"/>
      <c r="AZ826" s="27"/>
      <c r="BA826" s="27"/>
      <c r="BB826" s="27"/>
      <c r="BC826" s="28"/>
      <c r="BD826" s="29"/>
      <c r="BE826" s="29"/>
      <c r="BF826" s="27"/>
      <c r="BG826" s="27"/>
      <c r="BH826" s="27"/>
      <c r="BI826" s="27"/>
      <c r="BJ826" s="27"/>
      <c r="BK826" s="27"/>
      <c r="BL826" s="27"/>
      <c r="BM826" s="27"/>
    </row>
    <row r="827">
      <c r="I827" s="27"/>
      <c r="J827" s="27"/>
      <c r="K827" s="27"/>
      <c r="L827" s="27"/>
      <c r="M827" s="28"/>
      <c r="N827" s="29"/>
      <c r="O827" s="29"/>
      <c r="P827" s="29"/>
      <c r="Q827" s="27"/>
      <c r="R827" s="27"/>
      <c r="S827" s="27"/>
      <c r="T827" s="27"/>
      <c r="U827" s="27"/>
      <c r="V827" s="27"/>
      <c r="AE827" s="27"/>
      <c r="AF827" s="27"/>
      <c r="AG827" s="27"/>
      <c r="AH827" s="27"/>
      <c r="AI827" s="28"/>
      <c r="AJ827" s="29"/>
      <c r="AK827" s="29"/>
      <c r="AL827" s="27"/>
      <c r="AM827" s="27"/>
      <c r="AN827" s="27"/>
      <c r="AO827" s="27"/>
      <c r="AP827" s="27"/>
      <c r="AY827" s="27"/>
      <c r="AZ827" s="27"/>
      <c r="BA827" s="27"/>
      <c r="BB827" s="27"/>
      <c r="BC827" s="28"/>
      <c r="BD827" s="29"/>
      <c r="BE827" s="29"/>
      <c r="BF827" s="27"/>
      <c r="BG827" s="27"/>
      <c r="BH827" s="27"/>
      <c r="BI827" s="27"/>
      <c r="BJ827" s="27"/>
      <c r="BK827" s="27"/>
      <c r="BL827" s="27"/>
      <c r="BM827" s="27"/>
    </row>
    <row r="828">
      <c r="I828" s="27"/>
      <c r="J828" s="27"/>
      <c r="K828" s="27"/>
      <c r="L828" s="27"/>
      <c r="M828" s="28"/>
      <c r="N828" s="29"/>
      <c r="O828" s="29"/>
      <c r="P828" s="29"/>
      <c r="Q828" s="27"/>
      <c r="R828" s="27"/>
      <c r="S828" s="27"/>
      <c r="T828" s="27"/>
      <c r="U828" s="27"/>
      <c r="V828" s="27"/>
      <c r="AE828" s="27"/>
      <c r="AF828" s="27"/>
      <c r="AG828" s="27"/>
      <c r="AH828" s="27"/>
      <c r="AI828" s="28"/>
      <c r="AJ828" s="29"/>
      <c r="AK828" s="29"/>
      <c r="AL828" s="27"/>
      <c r="AM828" s="27"/>
      <c r="AN828" s="27"/>
      <c r="AO828" s="27"/>
      <c r="AP828" s="27"/>
      <c r="AY828" s="27"/>
      <c r="AZ828" s="27"/>
      <c r="BA828" s="27"/>
      <c r="BB828" s="27"/>
      <c r="BC828" s="28"/>
      <c r="BD828" s="29"/>
      <c r="BE828" s="29"/>
      <c r="BF828" s="27"/>
      <c r="BG828" s="27"/>
      <c r="BH828" s="27"/>
      <c r="BI828" s="27"/>
      <c r="BJ828" s="27"/>
      <c r="BK828" s="27"/>
      <c r="BL828" s="27"/>
      <c r="BM828" s="27"/>
    </row>
    <row r="829">
      <c r="I829" s="27"/>
      <c r="J829" s="27"/>
      <c r="K829" s="27"/>
      <c r="L829" s="27"/>
      <c r="M829" s="28"/>
      <c r="N829" s="29"/>
      <c r="O829" s="29"/>
      <c r="P829" s="29"/>
      <c r="Q829" s="27"/>
      <c r="R829" s="27"/>
      <c r="S829" s="27"/>
      <c r="T829" s="27"/>
      <c r="U829" s="27"/>
      <c r="V829" s="27"/>
      <c r="AE829" s="27"/>
      <c r="AF829" s="27"/>
      <c r="AG829" s="27"/>
      <c r="AH829" s="27"/>
      <c r="AI829" s="28"/>
      <c r="AJ829" s="29"/>
      <c r="AK829" s="29"/>
      <c r="AL829" s="27"/>
      <c r="AM829" s="27"/>
      <c r="AN829" s="27"/>
      <c r="AO829" s="27"/>
      <c r="AP829" s="27"/>
      <c r="AY829" s="27"/>
      <c r="AZ829" s="27"/>
      <c r="BA829" s="27"/>
      <c r="BB829" s="27"/>
      <c r="BC829" s="28"/>
      <c r="BD829" s="29"/>
      <c r="BE829" s="29"/>
      <c r="BF829" s="27"/>
      <c r="BG829" s="27"/>
      <c r="BH829" s="27"/>
      <c r="BI829" s="27"/>
      <c r="BJ829" s="27"/>
      <c r="BK829" s="27"/>
      <c r="BL829" s="27"/>
      <c r="BM829" s="27"/>
    </row>
    <row r="830">
      <c r="I830" s="27"/>
      <c r="J830" s="27"/>
      <c r="K830" s="27"/>
      <c r="L830" s="27"/>
      <c r="M830" s="28"/>
      <c r="N830" s="29"/>
      <c r="O830" s="29"/>
      <c r="P830" s="29"/>
      <c r="Q830" s="27"/>
      <c r="R830" s="27"/>
      <c r="S830" s="27"/>
      <c r="T830" s="27"/>
      <c r="U830" s="27"/>
      <c r="V830" s="27"/>
      <c r="AE830" s="27"/>
      <c r="AF830" s="27"/>
      <c r="AG830" s="27"/>
      <c r="AH830" s="27"/>
      <c r="AI830" s="28"/>
      <c r="AJ830" s="29"/>
      <c r="AK830" s="29"/>
      <c r="AL830" s="27"/>
      <c r="AM830" s="27"/>
      <c r="AN830" s="27"/>
      <c r="AO830" s="27"/>
      <c r="AP830" s="27"/>
      <c r="AY830" s="27"/>
      <c r="AZ830" s="27"/>
      <c r="BA830" s="27"/>
      <c r="BB830" s="27"/>
      <c r="BC830" s="28"/>
      <c r="BD830" s="29"/>
      <c r="BE830" s="29"/>
      <c r="BF830" s="27"/>
      <c r="BG830" s="27"/>
      <c r="BH830" s="27"/>
      <c r="BI830" s="27"/>
      <c r="BJ830" s="27"/>
      <c r="BK830" s="27"/>
      <c r="BL830" s="27"/>
      <c r="BM830" s="27"/>
    </row>
    <row r="831">
      <c r="I831" s="27"/>
      <c r="J831" s="27"/>
      <c r="K831" s="27"/>
      <c r="L831" s="27"/>
      <c r="M831" s="28"/>
      <c r="N831" s="29"/>
      <c r="O831" s="29"/>
      <c r="P831" s="29"/>
      <c r="Q831" s="27"/>
      <c r="R831" s="27"/>
      <c r="S831" s="27"/>
      <c r="T831" s="27"/>
      <c r="U831" s="27"/>
      <c r="V831" s="27"/>
      <c r="AE831" s="27"/>
      <c r="AF831" s="27"/>
      <c r="AG831" s="27"/>
      <c r="AH831" s="27"/>
      <c r="AI831" s="28"/>
      <c r="AJ831" s="29"/>
      <c r="AK831" s="29"/>
      <c r="AL831" s="27"/>
      <c r="AM831" s="27"/>
      <c r="AN831" s="27"/>
      <c r="AO831" s="27"/>
      <c r="AP831" s="27"/>
      <c r="AY831" s="27"/>
      <c r="AZ831" s="27"/>
      <c r="BA831" s="27"/>
      <c r="BB831" s="27"/>
      <c r="BC831" s="28"/>
      <c r="BD831" s="29"/>
      <c r="BE831" s="29"/>
      <c r="BF831" s="27"/>
      <c r="BG831" s="27"/>
      <c r="BH831" s="27"/>
      <c r="BI831" s="27"/>
      <c r="BJ831" s="27"/>
      <c r="BK831" s="27"/>
      <c r="BL831" s="27"/>
      <c r="BM831" s="27"/>
    </row>
    <row r="832">
      <c r="I832" s="27"/>
      <c r="J832" s="27"/>
      <c r="K832" s="27"/>
      <c r="L832" s="27"/>
      <c r="M832" s="28"/>
      <c r="N832" s="29"/>
      <c r="O832" s="29"/>
      <c r="P832" s="29"/>
      <c r="Q832" s="27"/>
      <c r="R832" s="27"/>
      <c r="S832" s="27"/>
      <c r="T832" s="27"/>
      <c r="U832" s="27"/>
      <c r="V832" s="27"/>
      <c r="AE832" s="27"/>
      <c r="AF832" s="27"/>
      <c r="AG832" s="27"/>
      <c r="AH832" s="27"/>
      <c r="AI832" s="28"/>
      <c r="AJ832" s="29"/>
      <c r="AK832" s="29"/>
      <c r="AL832" s="27"/>
      <c r="AM832" s="27"/>
      <c r="AN832" s="27"/>
      <c r="AO832" s="27"/>
      <c r="AP832" s="27"/>
      <c r="AY832" s="27"/>
      <c r="AZ832" s="27"/>
      <c r="BA832" s="27"/>
      <c r="BB832" s="27"/>
      <c r="BC832" s="28"/>
      <c r="BD832" s="29"/>
      <c r="BE832" s="29"/>
      <c r="BF832" s="27"/>
      <c r="BG832" s="27"/>
      <c r="BH832" s="27"/>
      <c r="BI832" s="27"/>
      <c r="BJ832" s="27"/>
      <c r="BK832" s="27"/>
      <c r="BL832" s="27"/>
      <c r="BM832" s="27"/>
    </row>
    <row r="833">
      <c r="I833" s="27"/>
      <c r="J833" s="27"/>
      <c r="K833" s="27"/>
      <c r="L833" s="27"/>
      <c r="M833" s="28"/>
      <c r="N833" s="29"/>
      <c r="O833" s="29"/>
      <c r="P833" s="29"/>
      <c r="Q833" s="27"/>
      <c r="R833" s="27"/>
      <c r="S833" s="27"/>
      <c r="T833" s="27"/>
      <c r="U833" s="27"/>
      <c r="V833" s="27"/>
      <c r="AE833" s="27"/>
      <c r="AF833" s="27"/>
      <c r="AG833" s="27"/>
      <c r="AH833" s="27"/>
      <c r="AI833" s="28"/>
      <c r="AJ833" s="29"/>
      <c r="AK833" s="29"/>
      <c r="AL833" s="27"/>
      <c r="AM833" s="27"/>
      <c r="AN833" s="27"/>
      <c r="AO833" s="27"/>
      <c r="AP833" s="27"/>
      <c r="AY833" s="27"/>
      <c r="AZ833" s="27"/>
      <c r="BA833" s="27"/>
      <c r="BB833" s="27"/>
      <c r="BC833" s="28"/>
      <c r="BD833" s="29"/>
      <c r="BE833" s="29"/>
      <c r="BF833" s="27"/>
      <c r="BG833" s="27"/>
      <c r="BH833" s="27"/>
      <c r="BI833" s="27"/>
      <c r="BJ833" s="27"/>
      <c r="BK833" s="27"/>
      <c r="BL833" s="27"/>
      <c r="BM833" s="27"/>
    </row>
    <row r="834">
      <c r="I834" s="27"/>
      <c r="J834" s="27"/>
      <c r="K834" s="27"/>
      <c r="L834" s="27"/>
      <c r="M834" s="28"/>
      <c r="N834" s="29"/>
      <c r="O834" s="29"/>
      <c r="P834" s="29"/>
      <c r="Q834" s="27"/>
      <c r="R834" s="27"/>
      <c r="S834" s="27"/>
      <c r="T834" s="27"/>
      <c r="U834" s="27"/>
      <c r="V834" s="27"/>
      <c r="AE834" s="27"/>
      <c r="AF834" s="27"/>
      <c r="AG834" s="27"/>
      <c r="AH834" s="27"/>
      <c r="AI834" s="28"/>
      <c r="AJ834" s="29"/>
      <c r="AK834" s="29"/>
      <c r="AL834" s="27"/>
      <c r="AM834" s="27"/>
      <c r="AN834" s="27"/>
      <c r="AO834" s="27"/>
      <c r="AP834" s="27"/>
      <c r="AY834" s="27"/>
      <c r="AZ834" s="27"/>
      <c r="BA834" s="27"/>
      <c r="BB834" s="27"/>
      <c r="BC834" s="28"/>
      <c r="BD834" s="29"/>
      <c r="BE834" s="29"/>
      <c r="BF834" s="27"/>
      <c r="BG834" s="27"/>
      <c r="BH834" s="27"/>
      <c r="BI834" s="27"/>
      <c r="BJ834" s="27"/>
      <c r="BK834" s="27"/>
      <c r="BL834" s="27"/>
      <c r="BM834" s="27"/>
    </row>
    <row r="835">
      <c r="I835" s="27"/>
      <c r="J835" s="27"/>
      <c r="K835" s="27"/>
      <c r="L835" s="27"/>
      <c r="M835" s="28"/>
      <c r="N835" s="29"/>
      <c r="O835" s="29"/>
      <c r="P835" s="29"/>
      <c r="Q835" s="27"/>
      <c r="R835" s="27"/>
      <c r="S835" s="27"/>
      <c r="T835" s="27"/>
      <c r="U835" s="27"/>
      <c r="V835" s="27"/>
      <c r="AE835" s="27"/>
      <c r="AF835" s="27"/>
      <c r="AG835" s="27"/>
      <c r="AH835" s="27"/>
      <c r="AI835" s="28"/>
      <c r="AJ835" s="29"/>
      <c r="AK835" s="29"/>
      <c r="AL835" s="27"/>
      <c r="AM835" s="27"/>
      <c r="AN835" s="27"/>
      <c r="AO835" s="27"/>
      <c r="AP835" s="27"/>
      <c r="AY835" s="27"/>
      <c r="AZ835" s="27"/>
      <c r="BA835" s="27"/>
      <c r="BB835" s="27"/>
      <c r="BC835" s="28"/>
      <c r="BD835" s="29"/>
      <c r="BE835" s="29"/>
      <c r="BF835" s="27"/>
      <c r="BG835" s="27"/>
      <c r="BH835" s="27"/>
      <c r="BI835" s="27"/>
      <c r="BJ835" s="27"/>
      <c r="BK835" s="27"/>
      <c r="BL835" s="27"/>
      <c r="BM835" s="27"/>
    </row>
    <row r="836">
      <c r="I836" s="27"/>
      <c r="J836" s="27"/>
      <c r="K836" s="27"/>
      <c r="L836" s="27"/>
      <c r="M836" s="28"/>
      <c r="N836" s="29"/>
      <c r="O836" s="29"/>
      <c r="P836" s="29"/>
      <c r="Q836" s="27"/>
      <c r="R836" s="27"/>
      <c r="S836" s="27"/>
      <c r="T836" s="27"/>
      <c r="U836" s="27"/>
      <c r="V836" s="27"/>
      <c r="AE836" s="27"/>
      <c r="AF836" s="27"/>
      <c r="AG836" s="27"/>
      <c r="AH836" s="27"/>
      <c r="AI836" s="28"/>
      <c r="AJ836" s="29"/>
      <c r="AK836" s="29"/>
      <c r="AL836" s="27"/>
      <c r="AM836" s="27"/>
      <c r="AN836" s="27"/>
      <c r="AO836" s="27"/>
      <c r="AP836" s="27"/>
      <c r="AY836" s="27"/>
      <c r="AZ836" s="27"/>
      <c r="BA836" s="27"/>
      <c r="BB836" s="27"/>
      <c r="BC836" s="28"/>
      <c r="BD836" s="29"/>
      <c r="BE836" s="29"/>
      <c r="BF836" s="27"/>
      <c r="BG836" s="27"/>
      <c r="BH836" s="27"/>
      <c r="BI836" s="27"/>
      <c r="BJ836" s="27"/>
      <c r="BK836" s="27"/>
      <c r="BL836" s="27"/>
      <c r="BM836" s="27"/>
    </row>
    <row r="837">
      <c r="I837" s="27"/>
      <c r="J837" s="27"/>
      <c r="K837" s="27"/>
      <c r="L837" s="27"/>
      <c r="M837" s="28"/>
      <c r="N837" s="29"/>
      <c r="O837" s="29"/>
      <c r="P837" s="29"/>
      <c r="Q837" s="27"/>
      <c r="R837" s="27"/>
      <c r="S837" s="27"/>
      <c r="T837" s="27"/>
      <c r="U837" s="27"/>
      <c r="V837" s="27"/>
      <c r="AE837" s="27"/>
      <c r="AF837" s="27"/>
      <c r="AG837" s="27"/>
      <c r="AH837" s="27"/>
      <c r="AI837" s="28"/>
      <c r="AJ837" s="29"/>
      <c r="AK837" s="29"/>
      <c r="AL837" s="27"/>
      <c r="AM837" s="27"/>
      <c r="AN837" s="27"/>
      <c r="AO837" s="27"/>
      <c r="AP837" s="27"/>
      <c r="AY837" s="27"/>
      <c r="AZ837" s="27"/>
      <c r="BA837" s="27"/>
      <c r="BB837" s="27"/>
      <c r="BC837" s="28"/>
      <c r="BD837" s="29"/>
      <c r="BE837" s="29"/>
      <c r="BF837" s="27"/>
      <c r="BG837" s="27"/>
      <c r="BH837" s="27"/>
      <c r="BI837" s="27"/>
      <c r="BJ837" s="27"/>
      <c r="BK837" s="27"/>
      <c r="BL837" s="27"/>
      <c r="BM837" s="27"/>
    </row>
    <row r="838">
      <c r="I838" s="27"/>
      <c r="J838" s="27"/>
      <c r="K838" s="27"/>
      <c r="L838" s="27"/>
      <c r="M838" s="28"/>
      <c r="N838" s="29"/>
      <c r="O838" s="29"/>
      <c r="P838" s="29"/>
      <c r="Q838" s="27"/>
      <c r="R838" s="27"/>
      <c r="S838" s="27"/>
      <c r="T838" s="27"/>
      <c r="U838" s="27"/>
      <c r="V838" s="27"/>
      <c r="AE838" s="27"/>
      <c r="AF838" s="27"/>
      <c r="AG838" s="27"/>
      <c r="AH838" s="27"/>
      <c r="AI838" s="28"/>
      <c r="AJ838" s="29"/>
      <c r="AK838" s="29"/>
      <c r="AL838" s="27"/>
      <c r="AM838" s="27"/>
      <c r="AN838" s="27"/>
      <c r="AO838" s="27"/>
      <c r="AP838" s="27"/>
      <c r="AY838" s="27"/>
      <c r="AZ838" s="27"/>
      <c r="BA838" s="27"/>
      <c r="BB838" s="27"/>
      <c r="BC838" s="28"/>
      <c r="BD838" s="29"/>
      <c r="BE838" s="29"/>
      <c r="BF838" s="27"/>
      <c r="BG838" s="27"/>
      <c r="BH838" s="27"/>
      <c r="BI838" s="27"/>
      <c r="BJ838" s="27"/>
      <c r="BK838" s="27"/>
      <c r="BL838" s="27"/>
      <c r="BM838" s="27"/>
    </row>
    <row r="839">
      <c r="I839" s="27"/>
      <c r="J839" s="27"/>
      <c r="K839" s="27"/>
      <c r="L839" s="27"/>
      <c r="M839" s="28"/>
      <c r="N839" s="29"/>
      <c r="O839" s="29"/>
      <c r="P839" s="29"/>
      <c r="Q839" s="27"/>
      <c r="R839" s="27"/>
      <c r="S839" s="27"/>
      <c r="T839" s="27"/>
      <c r="U839" s="27"/>
      <c r="V839" s="27"/>
      <c r="AE839" s="27"/>
      <c r="AF839" s="27"/>
      <c r="AG839" s="27"/>
      <c r="AH839" s="27"/>
      <c r="AI839" s="28"/>
      <c r="AJ839" s="29"/>
      <c r="AK839" s="29"/>
      <c r="AL839" s="27"/>
      <c r="AM839" s="27"/>
      <c r="AN839" s="27"/>
      <c r="AO839" s="27"/>
      <c r="AP839" s="27"/>
      <c r="AY839" s="27"/>
      <c r="AZ839" s="27"/>
      <c r="BA839" s="27"/>
      <c r="BB839" s="27"/>
      <c r="BC839" s="28"/>
      <c r="BD839" s="29"/>
      <c r="BE839" s="29"/>
      <c r="BF839" s="27"/>
      <c r="BG839" s="27"/>
      <c r="BH839" s="27"/>
      <c r="BI839" s="27"/>
      <c r="BJ839" s="27"/>
      <c r="BK839" s="27"/>
      <c r="BL839" s="27"/>
      <c r="BM839" s="27"/>
    </row>
    <row r="840">
      <c r="I840" s="27"/>
      <c r="J840" s="27"/>
      <c r="K840" s="27"/>
      <c r="L840" s="27"/>
      <c r="M840" s="28"/>
      <c r="N840" s="29"/>
      <c r="O840" s="29"/>
      <c r="P840" s="29"/>
      <c r="Q840" s="27"/>
      <c r="R840" s="27"/>
      <c r="S840" s="27"/>
      <c r="T840" s="27"/>
      <c r="U840" s="27"/>
      <c r="V840" s="27"/>
      <c r="AE840" s="27"/>
      <c r="AF840" s="27"/>
      <c r="AG840" s="27"/>
      <c r="AH840" s="27"/>
      <c r="AI840" s="28"/>
      <c r="AJ840" s="29"/>
      <c r="AK840" s="29"/>
      <c r="AL840" s="27"/>
      <c r="AM840" s="27"/>
      <c r="AN840" s="27"/>
      <c r="AO840" s="27"/>
      <c r="AP840" s="27"/>
      <c r="AY840" s="27"/>
      <c r="AZ840" s="27"/>
      <c r="BA840" s="27"/>
      <c r="BB840" s="27"/>
      <c r="BC840" s="28"/>
      <c r="BD840" s="29"/>
      <c r="BE840" s="29"/>
      <c r="BF840" s="27"/>
      <c r="BG840" s="27"/>
      <c r="BH840" s="27"/>
      <c r="BI840" s="27"/>
      <c r="BJ840" s="27"/>
      <c r="BK840" s="27"/>
      <c r="BL840" s="27"/>
      <c r="BM840" s="27"/>
    </row>
    <row r="841">
      <c r="I841" s="27"/>
      <c r="J841" s="27"/>
      <c r="K841" s="27"/>
      <c r="L841" s="27"/>
      <c r="M841" s="28"/>
      <c r="N841" s="29"/>
      <c r="O841" s="29"/>
      <c r="P841" s="29"/>
      <c r="Q841" s="27"/>
      <c r="R841" s="27"/>
      <c r="S841" s="27"/>
      <c r="T841" s="27"/>
      <c r="U841" s="27"/>
      <c r="V841" s="27"/>
      <c r="AE841" s="27"/>
      <c r="AF841" s="27"/>
      <c r="AG841" s="27"/>
      <c r="AH841" s="27"/>
      <c r="AI841" s="28"/>
      <c r="AJ841" s="29"/>
      <c r="AK841" s="29"/>
      <c r="AL841" s="27"/>
      <c r="AM841" s="27"/>
      <c r="AN841" s="27"/>
      <c r="AO841" s="27"/>
      <c r="AP841" s="27"/>
      <c r="AY841" s="27"/>
      <c r="AZ841" s="27"/>
      <c r="BA841" s="27"/>
      <c r="BB841" s="27"/>
      <c r="BC841" s="28"/>
      <c r="BD841" s="29"/>
      <c r="BE841" s="29"/>
      <c r="BF841" s="27"/>
      <c r="BG841" s="27"/>
      <c r="BH841" s="27"/>
      <c r="BI841" s="27"/>
      <c r="BJ841" s="27"/>
      <c r="BK841" s="27"/>
      <c r="BL841" s="27"/>
      <c r="BM841" s="27"/>
    </row>
    <row r="842">
      <c r="I842" s="27"/>
      <c r="J842" s="27"/>
      <c r="K842" s="27"/>
      <c r="L842" s="27"/>
      <c r="M842" s="28"/>
      <c r="N842" s="29"/>
      <c r="O842" s="29"/>
      <c r="P842" s="29"/>
      <c r="Q842" s="27"/>
      <c r="R842" s="27"/>
      <c r="S842" s="27"/>
      <c r="T842" s="27"/>
      <c r="U842" s="27"/>
      <c r="V842" s="27"/>
      <c r="AE842" s="27"/>
      <c r="AF842" s="27"/>
      <c r="AG842" s="27"/>
      <c r="AH842" s="27"/>
      <c r="AI842" s="28"/>
      <c r="AJ842" s="29"/>
      <c r="AK842" s="29"/>
      <c r="AL842" s="27"/>
      <c r="AM842" s="27"/>
      <c r="AN842" s="27"/>
      <c r="AO842" s="27"/>
      <c r="AP842" s="27"/>
      <c r="AY842" s="27"/>
      <c r="AZ842" s="27"/>
      <c r="BA842" s="27"/>
      <c r="BB842" s="27"/>
      <c r="BC842" s="28"/>
      <c r="BD842" s="29"/>
      <c r="BE842" s="29"/>
      <c r="BF842" s="27"/>
      <c r="BG842" s="27"/>
      <c r="BH842" s="27"/>
      <c r="BI842" s="27"/>
      <c r="BJ842" s="27"/>
      <c r="BK842" s="27"/>
      <c r="BL842" s="27"/>
      <c r="BM842" s="27"/>
    </row>
    <row r="843">
      <c r="I843" s="27"/>
      <c r="J843" s="27"/>
      <c r="K843" s="27"/>
      <c r="L843" s="27"/>
      <c r="M843" s="28"/>
      <c r="N843" s="29"/>
      <c r="O843" s="29"/>
      <c r="P843" s="29"/>
      <c r="Q843" s="27"/>
      <c r="R843" s="27"/>
      <c r="S843" s="27"/>
      <c r="T843" s="27"/>
      <c r="U843" s="27"/>
      <c r="V843" s="27"/>
      <c r="AE843" s="27"/>
      <c r="AF843" s="27"/>
      <c r="AG843" s="27"/>
      <c r="AH843" s="27"/>
      <c r="AI843" s="28"/>
      <c r="AJ843" s="29"/>
      <c r="AK843" s="29"/>
      <c r="AL843" s="27"/>
      <c r="AM843" s="27"/>
      <c r="AN843" s="27"/>
      <c r="AO843" s="27"/>
      <c r="AP843" s="27"/>
      <c r="AY843" s="27"/>
      <c r="AZ843" s="27"/>
      <c r="BA843" s="27"/>
      <c r="BB843" s="27"/>
      <c r="BC843" s="28"/>
      <c r="BD843" s="29"/>
      <c r="BE843" s="29"/>
      <c r="BF843" s="27"/>
      <c r="BG843" s="27"/>
      <c r="BH843" s="27"/>
      <c r="BI843" s="27"/>
      <c r="BJ843" s="27"/>
      <c r="BK843" s="27"/>
      <c r="BL843" s="27"/>
      <c r="BM843" s="27"/>
    </row>
    <row r="844">
      <c r="I844" s="27"/>
      <c r="J844" s="27"/>
      <c r="K844" s="27"/>
      <c r="L844" s="27"/>
      <c r="M844" s="28"/>
      <c r="N844" s="29"/>
      <c r="O844" s="29"/>
      <c r="P844" s="29"/>
      <c r="Q844" s="27"/>
      <c r="R844" s="27"/>
      <c r="S844" s="27"/>
      <c r="T844" s="27"/>
      <c r="U844" s="27"/>
      <c r="V844" s="27"/>
      <c r="AE844" s="27"/>
      <c r="AF844" s="27"/>
      <c r="AG844" s="27"/>
      <c r="AH844" s="27"/>
      <c r="AI844" s="28"/>
      <c r="AJ844" s="29"/>
      <c r="AK844" s="29"/>
      <c r="AL844" s="27"/>
      <c r="AM844" s="27"/>
      <c r="AN844" s="27"/>
      <c r="AO844" s="27"/>
      <c r="AP844" s="27"/>
      <c r="AY844" s="27"/>
      <c r="AZ844" s="27"/>
      <c r="BA844" s="27"/>
      <c r="BB844" s="27"/>
      <c r="BC844" s="28"/>
      <c r="BD844" s="29"/>
      <c r="BE844" s="29"/>
      <c r="BF844" s="27"/>
      <c r="BG844" s="27"/>
      <c r="BH844" s="27"/>
      <c r="BI844" s="27"/>
      <c r="BJ844" s="27"/>
      <c r="BK844" s="27"/>
      <c r="BL844" s="27"/>
      <c r="BM844" s="27"/>
    </row>
    <row r="845">
      <c r="I845" s="27"/>
      <c r="J845" s="27"/>
      <c r="K845" s="27"/>
      <c r="L845" s="27"/>
      <c r="M845" s="28"/>
      <c r="N845" s="29"/>
      <c r="O845" s="29"/>
      <c r="P845" s="29"/>
      <c r="Q845" s="27"/>
      <c r="R845" s="27"/>
      <c r="S845" s="27"/>
      <c r="T845" s="27"/>
      <c r="U845" s="27"/>
      <c r="V845" s="27"/>
      <c r="AE845" s="27"/>
      <c r="AF845" s="27"/>
      <c r="AG845" s="27"/>
      <c r="AH845" s="27"/>
      <c r="AI845" s="28"/>
      <c r="AJ845" s="29"/>
      <c r="AK845" s="29"/>
      <c r="AL845" s="27"/>
      <c r="AM845" s="27"/>
      <c r="AN845" s="27"/>
      <c r="AO845" s="27"/>
      <c r="AP845" s="27"/>
      <c r="AY845" s="27"/>
      <c r="AZ845" s="27"/>
      <c r="BA845" s="27"/>
      <c r="BB845" s="27"/>
      <c r="BC845" s="28"/>
      <c r="BD845" s="29"/>
      <c r="BE845" s="29"/>
      <c r="BF845" s="27"/>
      <c r="BG845" s="27"/>
      <c r="BH845" s="27"/>
      <c r="BI845" s="27"/>
      <c r="BJ845" s="27"/>
      <c r="BK845" s="27"/>
      <c r="BL845" s="27"/>
      <c r="BM845" s="27"/>
    </row>
    <row r="846">
      <c r="I846" s="27"/>
      <c r="J846" s="27"/>
      <c r="K846" s="27"/>
      <c r="L846" s="27"/>
      <c r="M846" s="28"/>
      <c r="N846" s="29"/>
      <c r="O846" s="29"/>
      <c r="P846" s="29"/>
      <c r="Q846" s="27"/>
      <c r="R846" s="27"/>
      <c r="S846" s="27"/>
      <c r="T846" s="27"/>
      <c r="U846" s="27"/>
      <c r="V846" s="27"/>
      <c r="AE846" s="27"/>
      <c r="AF846" s="27"/>
      <c r="AG846" s="27"/>
      <c r="AH846" s="27"/>
      <c r="AI846" s="28"/>
      <c r="AJ846" s="29"/>
      <c r="AK846" s="29"/>
      <c r="AL846" s="27"/>
      <c r="AM846" s="27"/>
      <c r="AN846" s="27"/>
      <c r="AO846" s="27"/>
      <c r="AP846" s="27"/>
      <c r="AY846" s="27"/>
      <c r="AZ846" s="27"/>
      <c r="BA846" s="27"/>
      <c r="BB846" s="27"/>
      <c r="BC846" s="28"/>
      <c r="BD846" s="29"/>
      <c r="BE846" s="29"/>
      <c r="BF846" s="27"/>
      <c r="BG846" s="27"/>
      <c r="BH846" s="27"/>
      <c r="BI846" s="27"/>
      <c r="BJ846" s="27"/>
      <c r="BK846" s="27"/>
      <c r="BL846" s="27"/>
      <c r="BM846" s="27"/>
    </row>
    <row r="847">
      <c r="I847" s="27"/>
      <c r="J847" s="27"/>
      <c r="K847" s="27"/>
      <c r="L847" s="27"/>
      <c r="M847" s="28"/>
      <c r="N847" s="29"/>
      <c r="O847" s="29"/>
      <c r="P847" s="29"/>
      <c r="Q847" s="27"/>
      <c r="R847" s="27"/>
      <c r="S847" s="27"/>
      <c r="T847" s="27"/>
      <c r="U847" s="27"/>
      <c r="V847" s="27"/>
      <c r="AE847" s="27"/>
      <c r="AF847" s="27"/>
      <c r="AG847" s="27"/>
      <c r="AH847" s="27"/>
      <c r="AI847" s="28"/>
      <c r="AJ847" s="29"/>
      <c r="AK847" s="29"/>
      <c r="AL847" s="27"/>
      <c r="AM847" s="27"/>
      <c r="AN847" s="27"/>
      <c r="AO847" s="27"/>
      <c r="AP847" s="27"/>
      <c r="AY847" s="27"/>
      <c r="AZ847" s="27"/>
      <c r="BA847" s="27"/>
      <c r="BB847" s="27"/>
      <c r="BC847" s="28"/>
      <c r="BD847" s="29"/>
      <c r="BE847" s="29"/>
      <c r="BF847" s="27"/>
      <c r="BG847" s="27"/>
      <c r="BH847" s="27"/>
      <c r="BI847" s="27"/>
      <c r="BJ847" s="27"/>
      <c r="BK847" s="27"/>
      <c r="BL847" s="27"/>
      <c r="BM847" s="27"/>
    </row>
    <row r="848">
      <c r="I848" s="27"/>
      <c r="J848" s="27"/>
      <c r="K848" s="27"/>
      <c r="L848" s="27"/>
      <c r="M848" s="28"/>
      <c r="N848" s="29"/>
      <c r="O848" s="29"/>
      <c r="P848" s="29"/>
      <c r="Q848" s="27"/>
      <c r="R848" s="27"/>
      <c r="S848" s="27"/>
      <c r="T848" s="27"/>
      <c r="U848" s="27"/>
      <c r="V848" s="27"/>
      <c r="AE848" s="27"/>
      <c r="AF848" s="27"/>
      <c r="AG848" s="27"/>
      <c r="AH848" s="27"/>
      <c r="AI848" s="28"/>
      <c r="AJ848" s="29"/>
      <c r="AK848" s="29"/>
      <c r="AL848" s="27"/>
      <c r="AM848" s="27"/>
      <c r="AN848" s="27"/>
      <c r="AO848" s="27"/>
      <c r="AP848" s="27"/>
      <c r="AY848" s="27"/>
      <c r="AZ848" s="27"/>
      <c r="BA848" s="27"/>
      <c r="BB848" s="27"/>
      <c r="BC848" s="28"/>
      <c r="BD848" s="29"/>
      <c r="BE848" s="29"/>
      <c r="BF848" s="27"/>
      <c r="BG848" s="27"/>
      <c r="BH848" s="27"/>
      <c r="BI848" s="27"/>
      <c r="BJ848" s="27"/>
      <c r="BK848" s="27"/>
      <c r="BL848" s="27"/>
      <c r="BM848" s="27"/>
    </row>
    <row r="849">
      <c r="I849" s="27"/>
      <c r="J849" s="27"/>
      <c r="K849" s="27"/>
      <c r="L849" s="27"/>
      <c r="M849" s="28"/>
      <c r="N849" s="29"/>
      <c r="O849" s="29"/>
      <c r="P849" s="29"/>
      <c r="Q849" s="27"/>
      <c r="R849" s="27"/>
      <c r="S849" s="27"/>
      <c r="T849" s="27"/>
      <c r="U849" s="27"/>
      <c r="V849" s="27"/>
      <c r="AE849" s="27"/>
      <c r="AF849" s="27"/>
      <c r="AG849" s="27"/>
      <c r="AH849" s="27"/>
      <c r="AI849" s="28"/>
      <c r="AJ849" s="29"/>
      <c r="AK849" s="29"/>
      <c r="AL849" s="27"/>
      <c r="AM849" s="27"/>
      <c r="AN849" s="27"/>
      <c r="AO849" s="27"/>
      <c r="AP849" s="27"/>
      <c r="AY849" s="27"/>
      <c r="AZ849" s="27"/>
      <c r="BA849" s="27"/>
      <c r="BB849" s="27"/>
      <c r="BC849" s="28"/>
      <c r="BD849" s="29"/>
      <c r="BE849" s="29"/>
      <c r="BF849" s="27"/>
      <c r="BG849" s="27"/>
      <c r="BH849" s="27"/>
      <c r="BI849" s="27"/>
      <c r="BJ849" s="27"/>
      <c r="BK849" s="27"/>
      <c r="BL849" s="27"/>
      <c r="BM849" s="27"/>
    </row>
    <row r="850">
      <c r="I850" s="27"/>
      <c r="J850" s="27"/>
      <c r="K850" s="27"/>
      <c r="L850" s="27"/>
      <c r="M850" s="28"/>
      <c r="N850" s="29"/>
      <c r="O850" s="29"/>
      <c r="P850" s="29"/>
      <c r="Q850" s="27"/>
      <c r="R850" s="27"/>
      <c r="S850" s="27"/>
      <c r="T850" s="27"/>
      <c r="U850" s="27"/>
      <c r="V850" s="27"/>
      <c r="AE850" s="27"/>
      <c r="AF850" s="27"/>
      <c r="AG850" s="27"/>
      <c r="AH850" s="27"/>
      <c r="AI850" s="28"/>
      <c r="AJ850" s="29"/>
      <c r="AK850" s="29"/>
      <c r="AL850" s="27"/>
      <c r="AM850" s="27"/>
      <c r="AN850" s="27"/>
      <c r="AO850" s="27"/>
      <c r="AP850" s="27"/>
      <c r="AY850" s="27"/>
      <c r="AZ850" s="27"/>
      <c r="BA850" s="27"/>
      <c r="BB850" s="27"/>
      <c r="BC850" s="28"/>
      <c r="BD850" s="29"/>
      <c r="BE850" s="29"/>
      <c r="BF850" s="27"/>
      <c r="BG850" s="27"/>
      <c r="BH850" s="27"/>
      <c r="BI850" s="27"/>
      <c r="BJ850" s="27"/>
      <c r="BK850" s="27"/>
      <c r="BL850" s="27"/>
      <c r="BM850" s="27"/>
    </row>
    <row r="851">
      <c r="I851" s="27"/>
      <c r="J851" s="27"/>
      <c r="K851" s="27"/>
      <c r="L851" s="27"/>
      <c r="M851" s="28"/>
      <c r="N851" s="29"/>
      <c r="O851" s="29"/>
      <c r="P851" s="29"/>
      <c r="Q851" s="27"/>
      <c r="R851" s="27"/>
      <c r="S851" s="27"/>
      <c r="T851" s="27"/>
      <c r="U851" s="27"/>
      <c r="V851" s="27"/>
      <c r="AE851" s="27"/>
      <c r="AF851" s="27"/>
      <c r="AG851" s="27"/>
      <c r="AH851" s="27"/>
      <c r="AI851" s="28"/>
      <c r="AJ851" s="29"/>
      <c r="AK851" s="29"/>
      <c r="AL851" s="27"/>
      <c r="AM851" s="27"/>
      <c r="AN851" s="27"/>
      <c r="AO851" s="27"/>
      <c r="AP851" s="27"/>
      <c r="AY851" s="27"/>
      <c r="AZ851" s="27"/>
      <c r="BA851" s="27"/>
      <c r="BB851" s="27"/>
      <c r="BC851" s="28"/>
      <c r="BD851" s="29"/>
      <c r="BE851" s="29"/>
      <c r="BF851" s="27"/>
      <c r="BG851" s="27"/>
      <c r="BH851" s="27"/>
      <c r="BI851" s="27"/>
      <c r="BJ851" s="27"/>
      <c r="BK851" s="27"/>
      <c r="BL851" s="27"/>
      <c r="BM851" s="27"/>
    </row>
    <row r="852">
      <c r="I852" s="27"/>
      <c r="J852" s="27"/>
      <c r="K852" s="27"/>
      <c r="L852" s="27"/>
      <c r="M852" s="28"/>
      <c r="N852" s="29"/>
      <c r="O852" s="29"/>
      <c r="P852" s="29"/>
      <c r="Q852" s="27"/>
      <c r="R852" s="27"/>
      <c r="S852" s="27"/>
      <c r="T852" s="27"/>
      <c r="U852" s="27"/>
      <c r="V852" s="27"/>
      <c r="AE852" s="27"/>
      <c r="AF852" s="27"/>
      <c r="AG852" s="27"/>
      <c r="AH852" s="27"/>
      <c r="AI852" s="28"/>
      <c r="AJ852" s="29"/>
      <c r="AK852" s="29"/>
      <c r="AL852" s="27"/>
      <c r="AM852" s="27"/>
      <c r="AN852" s="27"/>
      <c r="AO852" s="27"/>
      <c r="AP852" s="27"/>
      <c r="AY852" s="27"/>
      <c r="AZ852" s="27"/>
      <c r="BA852" s="27"/>
      <c r="BB852" s="27"/>
      <c r="BC852" s="28"/>
      <c r="BD852" s="29"/>
      <c r="BE852" s="29"/>
      <c r="BF852" s="27"/>
      <c r="BG852" s="27"/>
      <c r="BH852" s="27"/>
      <c r="BI852" s="27"/>
      <c r="BJ852" s="27"/>
      <c r="BK852" s="27"/>
      <c r="BL852" s="27"/>
      <c r="BM852" s="27"/>
    </row>
    <row r="853">
      <c r="I853" s="27"/>
      <c r="J853" s="27"/>
      <c r="K853" s="27"/>
      <c r="L853" s="27"/>
      <c r="M853" s="28"/>
      <c r="N853" s="29"/>
      <c r="O853" s="29"/>
      <c r="P853" s="29"/>
      <c r="Q853" s="27"/>
      <c r="R853" s="27"/>
      <c r="S853" s="27"/>
      <c r="T853" s="27"/>
      <c r="U853" s="27"/>
      <c r="V853" s="27"/>
      <c r="AE853" s="27"/>
      <c r="AF853" s="27"/>
      <c r="AG853" s="27"/>
      <c r="AH853" s="27"/>
      <c r="AI853" s="28"/>
      <c r="AJ853" s="29"/>
      <c r="AK853" s="29"/>
      <c r="AL853" s="27"/>
      <c r="AM853" s="27"/>
      <c r="AN853" s="27"/>
      <c r="AO853" s="27"/>
      <c r="AP853" s="27"/>
      <c r="AY853" s="27"/>
      <c r="AZ853" s="27"/>
      <c r="BA853" s="27"/>
      <c r="BB853" s="27"/>
      <c r="BC853" s="28"/>
      <c r="BD853" s="29"/>
      <c r="BE853" s="29"/>
      <c r="BF853" s="27"/>
      <c r="BG853" s="27"/>
      <c r="BH853" s="27"/>
      <c r="BI853" s="27"/>
      <c r="BJ853" s="27"/>
      <c r="BK853" s="27"/>
      <c r="BL853" s="27"/>
      <c r="BM853" s="27"/>
    </row>
    <row r="854">
      <c r="I854" s="27"/>
      <c r="J854" s="27"/>
      <c r="K854" s="27"/>
      <c r="L854" s="27"/>
      <c r="M854" s="28"/>
      <c r="N854" s="29"/>
      <c r="O854" s="29"/>
      <c r="P854" s="29"/>
      <c r="Q854" s="27"/>
      <c r="R854" s="27"/>
      <c r="S854" s="27"/>
      <c r="T854" s="27"/>
      <c r="U854" s="27"/>
      <c r="V854" s="27"/>
      <c r="AE854" s="27"/>
      <c r="AF854" s="27"/>
      <c r="AG854" s="27"/>
      <c r="AH854" s="27"/>
      <c r="AI854" s="28"/>
      <c r="AJ854" s="29"/>
      <c r="AK854" s="29"/>
      <c r="AL854" s="27"/>
      <c r="AM854" s="27"/>
      <c r="AN854" s="27"/>
      <c r="AO854" s="27"/>
      <c r="AP854" s="27"/>
      <c r="AY854" s="27"/>
      <c r="AZ854" s="27"/>
      <c r="BA854" s="27"/>
      <c r="BB854" s="27"/>
      <c r="BC854" s="28"/>
      <c r="BD854" s="29"/>
      <c r="BE854" s="29"/>
      <c r="BF854" s="27"/>
      <c r="BG854" s="27"/>
      <c r="BH854" s="27"/>
      <c r="BI854" s="27"/>
      <c r="BJ854" s="27"/>
      <c r="BK854" s="27"/>
      <c r="BL854" s="27"/>
      <c r="BM854" s="27"/>
    </row>
    <row r="855">
      <c r="I855" s="27"/>
      <c r="J855" s="27"/>
      <c r="K855" s="27"/>
      <c r="L855" s="27"/>
      <c r="M855" s="28"/>
      <c r="N855" s="29"/>
      <c r="O855" s="29"/>
      <c r="P855" s="29"/>
      <c r="Q855" s="27"/>
      <c r="R855" s="27"/>
      <c r="S855" s="27"/>
      <c r="T855" s="27"/>
      <c r="U855" s="27"/>
      <c r="V855" s="27"/>
      <c r="AE855" s="27"/>
      <c r="AF855" s="27"/>
      <c r="AG855" s="27"/>
      <c r="AH855" s="27"/>
      <c r="AI855" s="28"/>
      <c r="AJ855" s="29"/>
      <c r="AK855" s="29"/>
      <c r="AL855" s="27"/>
      <c r="AM855" s="27"/>
      <c r="AN855" s="27"/>
      <c r="AO855" s="27"/>
      <c r="AP855" s="27"/>
      <c r="AY855" s="27"/>
      <c r="AZ855" s="27"/>
      <c r="BA855" s="27"/>
      <c r="BB855" s="27"/>
      <c r="BC855" s="28"/>
      <c r="BD855" s="29"/>
      <c r="BE855" s="29"/>
      <c r="BF855" s="27"/>
      <c r="BG855" s="27"/>
      <c r="BH855" s="27"/>
      <c r="BI855" s="27"/>
      <c r="BJ855" s="27"/>
      <c r="BK855" s="27"/>
      <c r="BL855" s="27"/>
      <c r="BM855" s="27"/>
    </row>
    <row r="856">
      <c r="I856" s="27"/>
      <c r="J856" s="27"/>
      <c r="K856" s="27"/>
      <c r="L856" s="27"/>
      <c r="M856" s="28"/>
      <c r="N856" s="29"/>
      <c r="O856" s="29"/>
      <c r="P856" s="29"/>
      <c r="Q856" s="27"/>
      <c r="R856" s="27"/>
      <c r="S856" s="27"/>
      <c r="T856" s="27"/>
      <c r="U856" s="27"/>
      <c r="V856" s="27"/>
      <c r="AE856" s="27"/>
      <c r="AF856" s="27"/>
      <c r="AG856" s="27"/>
      <c r="AH856" s="27"/>
      <c r="AI856" s="28"/>
      <c r="AJ856" s="29"/>
      <c r="AK856" s="29"/>
      <c r="AL856" s="27"/>
      <c r="AM856" s="27"/>
      <c r="AN856" s="27"/>
      <c r="AO856" s="27"/>
      <c r="AP856" s="27"/>
      <c r="AY856" s="27"/>
      <c r="AZ856" s="27"/>
      <c r="BA856" s="27"/>
      <c r="BB856" s="27"/>
      <c r="BC856" s="28"/>
      <c r="BD856" s="29"/>
      <c r="BE856" s="29"/>
      <c r="BF856" s="27"/>
      <c r="BG856" s="27"/>
      <c r="BH856" s="27"/>
      <c r="BI856" s="27"/>
      <c r="BJ856" s="27"/>
      <c r="BK856" s="27"/>
      <c r="BL856" s="27"/>
      <c r="BM856" s="27"/>
    </row>
    <row r="857">
      <c r="I857" s="27"/>
      <c r="J857" s="27"/>
      <c r="K857" s="27"/>
      <c r="L857" s="27"/>
      <c r="M857" s="28"/>
      <c r="N857" s="29"/>
      <c r="O857" s="29"/>
      <c r="P857" s="29"/>
      <c r="Q857" s="27"/>
      <c r="R857" s="27"/>
      <c r="S857" s="27"/>
      <c r="T857" s="27"/>
      <c r="U857" s="27"/>
      <c r="V857" s="27"/>
      <c r="AE857" s="27"/>
      <c r="AF857" s="27"/>
      <c r="AG857" s="27"/>
      <c r="AH857" s="27"/>
      <c r="AI857" s="28"/>
      <c r="AJ857" s="29"/>
      <c r="AK857" s="29"/>
      <c r="AL857" s="27"/>
      <c r="AM857" s="27"/>
      <c r="AN857" s="27"/>
      <c r="AO857" s="27"/>
      <c r="AP857" s="27"/>
      <c r="AY857" s="27"/>
      <c r="AZ857" s="27"/>
      <c r="BA857" s="27"/>
      <c r="BB857" s="27"/>
      <c r="BC857" s="28"/>
      <c r="BD857" s="29"/>
      <c r="BE857" s="29"/>
      <c r="BF857" s="27"/>
      <c r="BG857" s="27"/>
      <c r="BH857" s="27"/>
      <c r="BI857" s="27"/>
      <c r="BJ857" s="27"/>
      <c r="BK857" s="27"/>
      <c r="BL857" s="27"/>
      <c r="BM857" s="27"/>
    </row>
    <row r="858">
      <c r="I858" s="27"/>
      <c r="J858" s="27"/>
      <c r="K858" s="27"/>
      <c r="L858" s="27"/>
      <c r="M858" s="28"/>
      <c r="N858" s="29"/>
      <c r="O858" s="29"/>
      <c r="P858" s="29"/>
      <c r="Q858" s="27"/>
      <c r="R858" s="27"/>
      <c r="S858" s="27"/>
      <c r="T858" s="27"/>
      <c r="U858" s="27"/>
      <c r="V858" s="27"/>
      <c r="AE858" s="27"/>
      <c r="AF858" s="27"/>
      <c r="AG858" s="27"/>
      <c r="AH858" s="27"/>
      <c r="AI858" s="28"/>
      <c r="AJ858" s="29"/>
      <c r="AK858" s="29"/>
      <c r="AL858" s="27"/>
      <c r="AM858" s="27"/>
      <c r="AN858" s="27"/>
      <c r="AO858" s="27"/>
      <c r="AP858" s="27"/>
      <c r="AY858" s="27"/>
      <c r="AZ858" s="27"/>
      <c r="BA858" s="27"/>
      <c r="BB858" s="27"/>
      <c r="BC858" s="28"/>
      <c r="BD858" s="29"/>
      <c r="BE858" s="29"/>
      <c r="BF858" s="27"/>
      <c r="BG858" s="27"/>
      <c r="BH858" s="27"/>
      <c r="BI858" s="27"/>
      <c r="BJ858" s="27"/>
      <c r="BK858" s="27"/>
      <c r="BL858" s="27"/>
      <c r="BM858" s="27"/>
    </row>
    <row r="859">
      <c r="I859" s="27"/>
      <c r="J859" s="27"/>
      <c r="K859" s="27"/>
      <c r="L859" s="27"/>
      <c r="M859" s="28"/>
      <c r="N859" s="29"/>
      <c r="O859" s="29"/>
      <c r="P859" s="29"/>
      <c r="Q859" s="27"/>
      <c r="R859" s="27"/>
      <c r="S859" s="27"/>
      <c r="T859" s="27"/>
      <c r="U859" s="27"/>
      <c r="V859" s="27"/>
      <c r="AE859" s="27"/>
      <c r="AF859" s="27"/>
      <c r="AG859" s="27"/>
      <c r="AH859" s="27"/>
      <c r="AI859" s="28"/>
      <c r="AJ859" s="29"/>
      <c r="AK859" s="29"/>
      <c r="AL859" s="27"/>
      <c r="AM859" s="27"/>
      <c r="AN859" s="27"/>
      <c r="AO859" s="27"/>
      <c r="AP859" s="27"/>
      <c r="AY859" s="27"/>
      <c r="AZ859" s="27"/>
      <c r="BA859" s="27"/>
      <c r="BB859" s="27"/>
      <c r="BC859" s="28"/>
      <c r="BD859" s="29"/>
      <c r="BE859" s="29"/>
      <c r="BF859" s="27"/>
      <c r="BG859" s="27"/>
      <c r="BH859" s="27"/>
      <c r="BI859" s="27"/>
      <c r="BJ859" s="27"/>
      <c r="BK859" s="27"/>
      <c r="BL859" s="27"/>
      <c r="BM859" s="27"/>
    </row>
    <row r="860">
      <c r="I860" s="27"/>
      <c r="J860" s="27"/>
      <c r="K860" s="27"/>
      <c r="L860" s="27"/>
      <c r="M860" s="28"/>
      <c r="N860" s="29"/>
      <c r="O860" s="29"/>
      <c r="P860" s="29"/>
      <c r="Q860" s="27"/>
      <c r="R860" s="27"/>
      <c r="S860" s="27"/>
      <c r="T860" s="27"/>
      <c r="U860" s="27"/>
      <c r="V860" s="27"/>
      <c r="AE860" s="27"/>
      <c r="AF860" s="27"/>
      <c r="AG860" s="27"/>
      <c r="AH860" s="27"/>
      <c r="AI860" s="28"/>
      <c r="AJ860" s="29"/>
      <c r="AK860" s="29"/>
      <c r="AL860" s="27"/>
      <c r="AM860" s="27"/>
      <c r="AN860" s="27"/>
      <c r="AO860" s="27"/>
      <c r="AP860" s="27"/>
      <c r="AY860" s="27"/>
      <c r="AZ860" s="27"/>
      <c r="BA860" s="27"/>
      <c r="BB860" s="27"/>
      <c r="BC860" s="28"/>
      <c r="BD860" s="29"/>
      <c r="BE860" s="29"/>
      <c r="BF860" s="27"/>
      <c r="BG860" s="27"/>
      <c r="BH860" s="27"/>
      <c r="BI860" s="27"/>
      <c r="BJ860" s="27"/>
      <c r="BK860" s="27"/>
      <c r="BL860" s="27"/>
      <c r="BM860" s="27"/>
    </row>
    <row r="861">
      <c r="I861" s="27"/>
      <c r="J861" s="27"/>
      <c r="K861" s="27"/>
      <c r="L861" s="27"/>
      <c r="M861" s="28"/>
      <c r="N861" s="29"/>
      <c r="O861" s="29"/>
      <c r="P861" s="29"/>
      <c r="Q861" s="27"/>
      <c r="R861" s="27"/>
      <c r="S861" s="27"/>
      <c r="T861" s="27"/>
      <c r="U861" s="27"/>
      <c r="V861" s="27"/>
      <c r="AE861" s="27"/>
      <c r="AF861" s="27"/>
      <c r="AG861" s="27"/>
      <c r="AH861" s="27"/>
      <c r="AI861" s="28"/>
      <c r="AJ861" s="29"/>
      <c r="AK861" s="29"/>
      <c r="AL861" s="27"/>
      <c r="AM861" s="27"/>
      <c r="AN861" s="27"/>
      <c r="AO861" s="27"/>
      <c r="AP861" s="27"/>
      <c r="AY861" s="27"/>
      <c r="AZ861" s="27"/>
      <c r="BA861" s="27"/>
      <c r="BB861" s="27"/>
      <c r="BC861" s="28"/>
      <c r="BD861" s="29"/>
      <c r="BE861" s="29"/>
      <c r="BF861" s="27"/>
      <c r="BG861" s="27"/>
      <c r="BH861" s="27"/>
      <c r="BI861" s="27"/>
      <c r="BJ861" s="27"/>
      <c r="BK861" s="27"/>
      <c r="BL861" s="27"/>
      <c r="BM861" s="27"/>
    </row>
    <row r="862">
      <c r="I862" s="27"/>
      <c r="J862" s="27"/>
      <c r="K862" s="27"/>
      <c r="L862" s="27"/>
      <c r="M862" s="28"/>
      <c r="N862" s="29"/>
      <c r="O862" s="29"/>
      <c r="P862" s="29"/>
      <c r="Q862" s="27"/>
      <c r="R862" s="27"/>
      <c r="S862" s="27"/>
      <c r="T862" s="27"/>
      <c r="U862" s="27"/>
      <c r="V862" s="27"/>
      <c r="AE862" s="27"/>
      <c r="AF862" s="27"/>
      <c r="AG862" s="27"/>
      <c r="AH862" s="27"/>
      <c r="AI862" s="28"/>
      <c r="AJ862" s="29"/>
      <c r="AK862" s="29"/>
      <c r="AL862" s="27"/>
      <c r="AM862" s="27"/>
      <c r="AN862" s="27"/>
      <c r="AO862" s="27"/>
      <c r="AP862" s="27"/>
      <c r="AY862" s="27"/>
      <c r="AZ862" s="27"/>
      <c r="BA862" s="27"/>
      <c r="BB862" s="27"/>
      <c r="BC862" s="28"/>
      <c r="BD862" s="29"/>
      <c r="BE862" s="29"/>
      <c r="BF862" s="27"/>
      <c r="BG862" s="27"/>
      <c r="BH862" s="27"/>
      <c r="BI862" s="27"/>
      <c r="BJ862" s="27"/>
      <c r="BK862" s="27"/>
      <c r="BL862" s="27"/>
      <c r="BM862" s="27"/>
    </row>
    <row r="863">
      <c r="I863" s="27"/>
      <c r="J863" s="27"/>
      <c r="K863" s="27"/>
      <c r="L863" s="27"/>
      <c r="M863" s="28"/>
      <c r="N863" s="29"/>
      <c r="O863" s="29"/>
      <c r="P863" s="29"/>
      <c r="Q863" s="27"/>
      <c r="R863" s="27"/>
      <c r="S863" s="27"/>
      <c r="T863" s="27"/>
      <c r="U863" s="27"/>
      <c r="V863" s="27"/>
      <c r="AE863" s="27"/>
      <c r="AF863" s="27"/>
      <c r="AG863" s="27"/>
      <c r="AH863" s="27"/>
      <c r="AI863" s="28"/>
      <c r="AJ863" s="29"/>
      <c r="AK863" s="29"/>
      <c r="AL863" s="27"/>
      <c r="AM863" s="27"/>
      <c r="AN863" s="27"/>
      <c r="AO863" s="27"/>
      <c r="AP863" s="27"/>
      <c r="AY863" s="27"/>
      <c r="AZ863" s="27"/>
      <c r="BA863" s="27"/>
      <c r="BB863" s="27"/>
      <c r="BC863" s="28"/>
      <c r="BD863" s="29"/>
      <c r="BE863" s="29"/>
      <c r="BF863" s="27"/>
      <c r="BG863" s="27"/>
      <c r="BH863" s="27"/>
      <c r="BI863" s="27"/>
      <c r="BJ863" s="27"/>
      <c r="BK863" s="27"/>
      <c r="BL863" s="27"/>
      <c r="BM863" s="27"/>
    </row>
    <row r="864">
      <c r="I864" s="27"/>
      <c r="J864" s="27"/>
      <c r="K864" s="27"/>
      <c r="L864" s="27"/>
      <c r="M864" s="28"/>
      <c r="N864" s="29"/>
      <c r="O864" s="29"/>
      <c r="P864" s="29"/>
      <c r="Q864" s="27"/>
      <c r="R864" s="27"/>
      <c r="S864" s="27"/>
      <c r="T864" s="27"/>
      <c r="U864" s="27"/>
      <c r="V864" s="27"/>
      <c r="AE864" s="27"/>
      <c r="AF864" s="27"/>
      <c r="AG864" s="27"/>
      <c r="AH864" s="27"/>
      <c r="AI864" s="28"/>
      <c r="AJ864" s="29"/>
      <c r="AK864" s="29"/>
      <c r="AL864" s="27"/>
      <c r="AM864" s="27"/>
      <c r="AN864" s="27"/>
      <c r="AO864" s="27"/>
      <c r="AP864" s="27"/>
      <c r="AY864" s="27"/>
      <c r="AZ864" s="27"/>
      <c r="BA864" s="27"/>
      <c r="BB864" s="27"/>
      <c r="BC864" s="28"/>
      <c r="BD864" s="29"/>
      <c r="BE864" s="29"/>
      <c r="BF864" s="27"/>
      <c r="BG864" s="27"/>
      <c r="BH864" s="27"/>
      <c r="BI864" s="27"/>
      <c r="BJ864" s="27"/>
      <c r="BK864" s="27"/>
      <c r="BL864" s="27"/>
      <c r="BM864" s="27"/>
    </row>
    <row r="865">
      <c r="I865" s="27"/>
      <c r="J865" s="27"/>
      <c r="K865" s="27"/>
      <c r="L865" s="27"/>
      <c r="M865" s="28"/>
      <c r="N865" s="29"/>
      <c r="O865" s="29"/>
      <c r="P865" s="29"/>
      <c r="Q865" s="27"/>
      <c r="R865" s="27"/>
      <c r="S865" s="27"/>
      <c r="T865" s="27"/>
      <c r="U865" s="27"/>
      <c r="V865" s="27"/>
      <c r="AE865" s="27"/>
      <c r="AF865" s="27"/>
      <c r="AG865" s="27"/>
      <c r="AH865" s="27"/>
      <c r="AI865" s="28"/>
      <c r="AJ865" s="29"/>
      <c r="AK865" s="29"/>
      <c r="AL865" s="27"/>
      <c r="AM865" s="27"/>
      <c r="AN865" s="27"/>
      <c r="AO865" s="27"/>
      <c r="AP865" s="27"/>
      <c r="AY865" s="27"/>
      <c r="AZ865" s="27"/>
      <c r="BA865" s="27"/>
      <c r="BB865" s="27"/>
      <c r="BC865" s="28"/>
      <c r="BD865" s="29"/>
      <c r="BE865" s="29"/>
      <c r="BF865" s="27"/>
      <c r="BG865" s="27"/>
      <c r="BH865" s="27"/>
      <c r="BI865" s="27"/>
      <c r="BJ865" s="27"/>
      <c r="BK865" s="27"/>
      <c r="BL865" s="27"/>
      <c r="BM865" s="27"/>
    </row>
    <row r="866">
      <c r="I866" s="27"/>
      <c r="J866" s="27"/>
      <c r="K866" s="27"/>
      <c r="L866" s="27"/>
      <c r="M866" s="28"/>
      <c r="N866" s="29"/>
      <c r="O866" s="29"/>
      <c r="P866" s="29"/>
      <c r="Q866" s="27"/>
      <c r="R866" s="27"/>
      <c r="S866" s="27"/>
      <c r="T866" s="27"/>
      <c r="U866" s="27"/>
      <c r="V866" s="27"/>
      <c r="AE866" s="27"/>
      <c r="AF866" s="27"/>
      <c r="AG866" s="27"/>
      <c r="AH866" s="27"/>
      <c r="AI866" s="28"/>
      <c r="AJ866" s="29"/>
      <c r="AK866" s="29"/>
      <c r="AL866" s="27"/>
      <c r="AM866" s="27"/>
      <c r="AN866" s="27"/>
      <c r="AO866" s="27"/>
      <c r="AP866" s="27"/>
      <c r="AY866" s="27"/>
      <c r="AZ866" s="27"/>
      <c r="BA866" s="27"/>
      <c r="BB866" s="27"/>
      <c r="BC866" s="28"/>
      <c r="BD866" s="29"/>
      <c r="BE866" s="29"/>
      <c r="BF866" s="27"/>
      <c r="BG866" s="27"/>
      <c r="BH866" s="27"/>
      <c r="BI866" s="27"/>
      <c r="BJ866" s="27"/>
      <c r="BK866" s="27"/>
      <c r="BL866" s="27"/>
      <c r="BM866" s="27"/>
    </row>
    <row r="867">
      <c r="I867" s="27"/>
      <c r="J867" s="27"/>
      <c r="K867" s="27"/>
      <c r="L867" s="27"/>
      <c r="M867" s="28"/>
      <c r="N867" s="29"/>
      <c r="O867" s="29"/>
      <c r="P867" s="29"/>
      <c r="Q867" s="27"/>
      <c r="R867" s="27"/>
      <c r="S867" s="27"/>
      <c r="T867" s="27"/>
      <c r="U867" s="27"/>
      <c r="V867" s="27"/>
      <c r="AE867" s="27"/>
      <c r="AF867" s="27"/>
      <c r="AG867" s="27"/>
      <c r="AH867" s="27"/>
      <c r="AI867" s="28"/>
      <c r="AJ867" s="29"/>
      <c r="AK867" s="29"/>
      <c r="AL867" s="27"/>
      <c r="AM867" s="27"/>
      <c r="AN867" s="27"/>
      <c r="AO867" s="27"/>
      <c r="AP867" s="27"/>
      <c r="AY867" s="27"/>
      <c r="AZ867" s="27"/>
      <c r="BA867" s="27"/>
      <c r="BB867" s="27"/>
      <c r="BC867" s="28"/>
      <c r="BD867" s="29"/>
      <c r="BE867" s="29"/>
      <c r="BF867" s="27"/>
      <c r="BG867" s="27"/>
      <c r="BH867" s="27"/>
      <c r="BI867" s="27"/>
      <c r="BJ867" s="27"/>
      <c r="BK867" s="27"/>
      <c r="BL867" s="27"/>
      <c r="BM867" s="27"/>
    </row>
    <row r="868">
      <c r="I868" s="27"/>
      <c r="J868" s="27"/>
      <c r="K868" s="27"/>
      <c r="L868" s="27"/>
      <c r="M868" s="28"/>
      <c r="N868" s="29"/>
      <c r="O868" s="29"/>
      <c r="P868" s="29"/>
      <c r="Q868" s="27"/>
      <c r="R868" s="27"/>
      <c r="S868" s="27"/>
      <c r="T868" s="27"/>
      <c r="U868" s="27"/>
      <c r="V868" s="27"/>
      <c r="AE868" s="27"/>
      <c r="AF868" s="27"/>
      <c r="AG868" s="27"/>
      <c r="AH868" s="27"/>
      <c r="AI868" s="28"/>
      <c r="AJ868" s="29"/>
      <c r="AK868" s="29"/>
      <c r="AL868" s="27"/>
      <c r="AM868" s="27"/>
      <c r="AN868" s="27"/>
      <c r="AO868" s="27"/>
      <c r="AP868" s="27"/>
      <c r="AY868" s="27"/>
      <c r="AZ868" s="27"/>
      <c r="BA868" s="27"/>
      <c r="BB868" s="27"/>
      <c r="BC868" s="28"/>
      <c r="BD868" s="29"/>
      <c r="BE868" s="29"/>
      <c r="BF868" s="27"/>
      <c r="BG868" s="27"/>
      <c r="BH868" s="27"/>
      <c r="BI868" s="27"/>
      <c r="BJ868" s="27"/>
      <c r="BK868" s="27"/>
      <c r="BL868" s="27"/>
      <c r="BM868" s="27"/>
    </row>
    <row r="869">
      <c r="I869" s="27"/>
      <c r="J869" s="27"/>
      <c r="K869" s="27"/>
      <c r="L869" s="27"/>
      <c r="M869" s="28"/>
      <c r="N869" s="29"/>
      <c r="O869" s="29"/>
      <c r="P869" s="29"/>
      <c r="Q869" s="27"/>
      <c r="R869" s="27"/>
      <c r="S869" s="27"/>
      <c r="T869" s="27"/>
      <c r="U869" s="27"/>
      <c r="V869" s="27"/>
      <c r="AE869" s="27"/>
      <c r="AF869" s="27"/>
      <c r="AG869" s="27"/>
      <c r="AH869" s="27"/>
      <c r="AI869" s="28"/>
      <c r="AJ869" s="29"/>
      <c r="AK869" s="29"/>
      <c r="AL869" s="27"/>
      <c r="AM869" s="27"/>
      <c r="AN869" s="27"/>
      <c r="AO869" s="27"/>
      <c r="AP869" s="27"/>
      <c r="AY869" s="27"/>
      <c r="AZ869" s="27"/>
      <c r="BA869" s="27"/>
      <c r="BB869" s="27"/>
      <c r="BC869" s="28"/>
      <c r="BD869" s="29"/>
      <c r="BE869" s="29"/>
      <c r="BF869" s="27"/>
      <c r="BG869" s="27"/>
      <c r="BH869" s="27"/>
      <c r="BI869" s="27"/>
      <c r="BJ869" s="27"/>
      <c r="BK869" s="27"/>
      <c r="BL869" s="27"/>
      <c r="BM869" s="27"/>
    </row>
    <row r="870">
      <c r="I870" s="27"/>
      <c r="J870" s="27"/>
      <c r="K870" s="27"/>
      <c r="L870" s="27"/>
      <c r="M870" s="28"/>
      <c r="N870" s="29"/>
      <c r="O870" s="29"/>
      <c r="P870" s="29"/>
      <c r="Q870" s="27"/>
      <c r="R870" s="27"/>
      <c r="S870" s="27"/>
      <c r="T870" s="27"/>
      <c r="U870" s="27"/>
      <c r="V870" s="27"/>
      <c r="AE870" s="27"/>
      <c r="AF870" s="27"/>
      <c r="AG870" s="27"/>
      <c r="AH870" s="27"/>
      <c r="AI870" s="28"/>
      <c r="AJ870" s="29"/>
      <c r="AK870" s="29"/>
      <c r="AL870" s="27"/>
      <c r="AM870" s="27"/>
      <c r="AN870" s="27"/>
      <c r="AO870" s="27"/>
      <c r="AP870" s="27"/>
      <c r="AY870" s="27"/>
      <c r="AZ870" s="27"/>
      <c r="BA870" s="27"/>
      <c r="BB870" s="27"/>
      <c r="BC870" s="28"/>
      <c r="BD870" s="29"/>
      <c r="BE870" s="29"/>
      <c r="BF870" s="27"/>
      <c r="BG870" s="27"/>
      <c r="BH870" s="27"/>
      <c r="BI870" s="27"/>
      <c r="BJ870" s="27"/>
      <c r="BK870" s="27"/>
      <c r="BL870" s="27"/>
      <c r="BM870" s="27"/>
    </row>
    <row r="871">
      <c r="I871" s="27"/>
      <c r="J871" s="27"/>
      <c r="K871" s="27"/>
      <c r="L871" s="27"/>
      <c r="M871" s="28"/>
      <c r="N871" s="29"/>
      <c r="O871" s="29"/>
      <c r="P871" s="29"/>
      <c r="Q871" s="27"/>
      <c r="R871" s="27"/>
      <c r="S871" s="27"/>
      <c r="T871" s="27"/>
      <c r="U871" s="27"/>
      <c r="V871" s="27"/>
      <c r="AE871" s="27"/>
      <c r="AF871" s="27"/>
      <c r="AG871" s="27"/>
      <c r="AH871" s="27"/>
      <c r="AI871" s="28"/>
      <c r="AJ871" s="29"/>
      <c r="AK871" s="29"/>
      <c r="AL871" s="27"/>
      <c r="AM871" s="27"/>
      <c r="AN871" s="27"/>
      <c r="AO871" s="27"/>
      <c r="AP871" s="27"/>
      <c r="AY871" s="27"/>
      <c r="AZ871" s="27"/>
      <c r="BA871" s="27"/>
      <c r="BB871" s="27"/>
      <c r="BC871" s="28"/>
      <c r="BD871" s="29"/>
      <c r="BE871" s="29"/>
      <c r="BF871" s="27"/>
      <c r="BG871" s="27"/>
      <c r="BH871" s="27"/>
      <c r="BI871" s="27"/>
      <c r="BJ871" s="27"/>
      <c r="BK871" s="27"/>
      <c r="BL871" s="27"/>
      <c r="BM871" s="27"/>
    </row>
    <row r="872">
      <c r="I872" s="27"/>
      <c r="J872" s="27"/>
      <c r="K872" s="27"/>
      <c r="L872" s="27"/>
      <c r="M872" s="28"/>
      <c r="N872" s="29"/>
      <c r="O872" s="29"/>
      <c r="P872" s="29"/>
      <c r="Q872" s="27"/>
      <c r="R872" s="27"/>
      <c r="S872" s="27"/>
      <c r="T872" s="27"/>
      <c r="U872" s="27"/>
      <c r="V872" s="27"/>
      <c r="AE872" s="27"/>
      <c r="AF872" s="27"/>
      <c r="AG872" s="27"/>
      <c r="AH872" s="27"/>
      <c r="AI872" s="28"/>
      <c r="AJ872" s="29"/>
      <c r="AK872" s="29"/>
      <c r="AL872" s="27"/>
      <c r="AM872" s="27"/>
      <c r="AN872" s="27"/>
      <c r="AO872" s="27"/>
      <c r="AP872" s="27"/>
      <c r="AY872" s="27"/>
      <c r="AZ872" s="27"/>
      <c r="BA872" s="27"/>
      <c r="BB872" s="27"/>
      <c r="BC872" s="28"/>
      <c r="BD872" s="29"/>
      <c r="BE872" s="29"/>
      <c r="BF872" s="27"/>
      <c r="BG872" s="27"/>
      <c r="BH872" s="27"/>
      <c r="BI872" s="27"/>
      <c r="BJ872" s="27"/>
      <c r="BK872" s="27"/>
      <c r="BL872" s="27"/>
      <c r="BM872" s="27"/>
    </row>
    <row r="873">
      <c r="I873" s="27"/>
      <c r="J873" s="27"/>
      <c r="K873" s="27"/>
      <c r="L873" s="27"/>
      <c r="M873" s="28"/>
      <c r="N873" s="29"/>
      <c r="O873" s="29"/>
      <c r="P873" s="29"/>
      <c r="Q873" s="27"/>
      <c r="R873" s="27"/>
      <c r="S873" s="27"/>
      <c r="T873" s="27"/>
      <c r="U873" s="27"/>
      <c r="V873" s="27"/>
      <c r="AE873" s="27"/>
      <c r="AF873" s="27"/>
      <c r="AG873" s="27"/>
      <c r="AH873" s="27"/>
      <c r="AI873" s="28"/>
      <c r="AJ873" s="29"/>
      <c r="AK873" s="29"/>
      <c r="AL873" s="27"/>
      <c r="AM873" s="27"/>
      <c r="AN873" s="27"/>
      <c r="AO873" s="27"/>
      <c r="AP873" s="27"/>
      <c r="AY873" s="27"/>
      <c r="AZ873" s="27"/>
      <c r="BA873" s="27"/>
      <c r="BB873" s="27"/>
      <c r="BC873" s="28"/>
      <c r="BD873" s="29"/>
      <c r="BE873" s="29"/>
      <c r="BF873" s="27"/>
      <c r="BG873" s="27"/>
      <c r="BH873" s="27"/>
      <c r="BI873" s="27"/>
      <c r="BJ873" s="27"/>
      <c r="BK873" s="27"/>
      <c r="BL873" s="27"/>
      <c r="BM873" s="27"/>
    </row>
    <row r="874">
      <c r="I874" s="27"/>
      <c r="J874" s="27"/>
      <c r="K874" s="27"/>
      <c r="L874" s="27"/>
      <c r="M874" s="28"/>
      <c r="N874" s="29"/>
      <c r="O874" s="29"/>
      <c r="P874" s="29"/>
      <c r="Q874" s="27"/>
      <c r="R874" s="27"/>
      <c r="S874" s="27"/>
      <c r="T874" s="27"/>
      <c r="U874" s="27"/>
      <c r="V874" s="27"/>
      <c r="AE874" s="27"/>
      <c r="AF874" s="27"/>
      <c r="AG874" s="27"/>
      <c r="AH874" s="27"/>
      <c r="AI874" s="28"/>
      <c r="AJ874" s="29"/>
      <c r="AK874" s="29"/>
      <c r="AL874" s="27"/>
      <c r="AM874" s="27"/>
      <c r="AN874" s="27"/>
      <c r="AO874" s="27"/>
      <c r="AP874" s="27"/>
      <c r="AY874" s="27"/>
      <c r="AZ874" s="27"/>
      <c r="BA874" s="27"/>
      <c r="BB874" s="27"/>
      <c r="BC874" s="28"/>
      <c r="BD874" s="29"/>
      <c r="BE874" s="29"/>
      <c r="BF874" s="27"/>
      <c r="BG874" s="27"/>
      <c r="BH874" s="27"/>
      <c r="BI874" s="27"/>
      <c r="BJ874" s="27"/>
      <c r="BK874" s="27"/>
      <c r="BL874" s="27"/>
      <c r="BM874" s="27"/>
    </row>
    <row r="875">
      <c r="I875" s="27"/>
      <c r="J875" s="27"/>
      <c r="K875" s="27"/>
      <c r="L875" s="27"/>
      <c r="M875" s="28"/>
      <c r="N875" s="29"/>
      <c r="O875" s="29"/>
      <c r="P875" s="29"/>
      <c r="Q875" s="27"/>
      <c r="R875" s="27"/>
      <c r="S875" s="27"/>
      <c r="T875" s="27"/>
      <c r="U875" s="27"/>
      <c r="V875" s="27"/>
      <c r="AE875" s="27"/>
      <c r="AF875" s="27"/>
      <c r="AG875" s="27"/>
      <c r="AH875" s="27"/>
      <c r="AI875" s="28"/>
      <c r="AJ875" s="29"/>
      <c r="AK875" s="29"/>
      <c r="AL875" s="27"/>
      <c r="AM875" s="27"/>
      <c r="AN875" s="27"/>
      <c r="AO875" s="27"/>
      <c r="AP875" s="27"/>
      <c r="AY875" s="27"/>
      <c r="AZ875" s="27"/>
      <c r="BA875" s="27"/>
      <c r="BB875" s="27"/>
      <c r="BC875" s="28"/>
      <c r="BD875" s="29"/>
      <c r="BE875" s="29"/>
      <c r="BF875" s="27"/>
      <c r="BG875" s="27"/>
      <c r="BH875" s="27"/>
      <c r="BI875" s="27"/>
      <c r="BJ875" s="27"/>
      <c r="BK875" s="27"/>
      <c r="BL875" s="27"/>
      <c r="BM875" s="27"/>
    </row>
    <row r="876">
      <c r="I876" s="27"/>
      <c r="J876" s="27"/>
      <c r="K876" s="27"/>
      <c r="L876" s="27"/>
      <c r="M876" s="28"/>
      <c r="N876" s="29"/>
      <c r="O876" s="29"/>
      <c r="P876" s="29"/>
      <c r="Q876" s="27"/>
      <c r="R876" s="27"/>
      <c r="S876" s="27"/>
      <c r="T876" s="27"/>
      <c r="U876" s="27"/>
      <c r="V876" s="27"/>
      <c r="AE876" s="27"/>
      <c r="AF876" s="27"/>
      <c r="AG876" s="27"/>
      <c r="AH876" s="27"/>
      <c r="AI876" s="28"/>
      <c r="AJ876" s="29"/>
      <c r="AK876" s="29"/>
      <c r="AL876" s="27"/>
      <c r="AM876" s="27"/>
      <c r="AN876" s="27"/>
      <c r="AO876" s="27"/>
      <c r="AP876" s="27"/>
      <c r="AY876" s="27"/>
      <c r="AZ876" s="27"/>
      <c r="BA876" s="27"/>
      <c r="BB876" s="27"/>
      <c r="BC876" s="28"/>
      <c r="BD876" s="29"/>
      <c r="BE876" s="29"/>
      <c r="BF876" s="27"/>
      <c r="BG876" s="27"/>
      <c r="BH876" s="27"/>
      <c r="BI876" s="27"/>
      <c r="BJ876" s="27"/>
      <c r="BK876" s="27"/>
      <c r="BL876" s="27"/>
      <c r="BM876" s="27"/>
    </row>
    <row r="877">
      <c r="I877" s="27"/>
      <c r="J877" s="27"/>
      <c r="K877" s="27"/>
      <c r="L877" s="27"/>
      <c r="M877" s="28"/>
      <c r="N877" s="29"/>
      <c r="O877" s="29"/>
      <c r="P877" s="29"/>
      <c r="Q877" s="27"/>
      <c r="R877" s="27"/>
      <c r="S877" s="27"/>
      <c r="T877" s="27"/>
      <c r="U877" s="27"/>
      <c r="V877" s="27"/>
      <c r="AE877" s="27"/>
      <c r="AF877" s="27"/>
      <c r="AG877" s="27"/>
      <c r="AH877" s="27"/>
      <c r="AI877" s="28"/>
      <c r="AJ877" s="29"/>
      <c r="AK877" s="29"/>
      <c r="AL877" s="27"/>
      <c r="AM877" s="27"/>
      <c r="AN877" s="27"/>
      <c r="AO877" s="27"/>
      <c r="AP877" s="27"/>
      <c r="AY877" s="27"/>
      <c r="AZ877" s="27"/>
      <c r="BA877" s="27"/>
      <c r="BB877" s="27"/>
      <c r="BC877" s="28"/>
      <c r="BD877" s="29"/>
      <c r="BE877" s="29"/>
      <c r="BF877" s="27"/>
      <c r="BG877" s="27"/>
      <c r="BH877" s="27"/>
      <c r="BI877" s="27"/>
      <c r="BJ877" s="27"/>
      <c r="BK877" s="27"/>
      <c r="BL877" s="27"/>
      <c r="BM877" s="27"/>
    </row>
    <row r="878">
      <c r="I878" s="27"/>
      <c r="J878" s="27"/>
      <c r="K878" s="27"/>
      <c r="L878" s="27"/>
      <c r="M878" s="28"/>
      <c r="N878" s="29"/>
      <c r="O878" s="29"/>
      <c r="P878" s="29"/>
      <c r="Q878" s="27"/>
      <c r="R878" s="27"/>
      <c r="S878" s="27"/>
      <c r="T878" s="27"/>
      <c r="U878" s="27"/>
      <c r="V878" s="27"/>
      <c r="AE878" s="27"/>
      <c r="AF878" s="27"/>
      <c r="AG878" s="27"/>
      <c r="AH878" s="27"/>
      <c r="AI878" s="28"/>
      <c r="AJ878" s="29"/>
      <c r="AK878" s="29"/>
      <c r="AL878" s="27"/>
      <c r="AM878" s="27"/>
      <c r="AN878" s="27"/>
      <c r="AO878" s="27"/>
      <c r="AP878" s="27"/>
      <c r="AY878" s="27"/>
      <c r="AZ878" s="27"/>
      <c r="BA878" s="27"/>
      <c r="BB878" s="27"/>
      <c r="BC878" s="28"/>
      <c r="BD878" s="29"/>
      <c r="BE878" s="29"/>
      <c r="BF878" s="27"/>
      <c r="BG878" s="27"/>
      <c r="BH878" s="27"/>
      <c r="BI878" s="27"/>
      <c r="BJ878" s="27"/>
      <c r="BK878" s="27"/>
      <c r="BL878" s="27"/>
      <c r="BM878" s="27"/>
    </row>
    <row r="879">
      <c r="I879" s="27"/>
      <c r="J879" s="27"/>
      <c r="K879" s="27"/>
      <c r="L879" s="27"/>
      <c r="M879" s="28"/>
      <c r="N879" s="29"/>
      <c r="O879" s="29"/>
      <c r="P879" s="29"/>
      <c r="Q879" s="27"/>
      <c r="R879" s="27"/>
      <c r="S879" s="27"/>
      <c r="T879" s="27"/>
      <c r="U879" s="27"/>
      <c r="V879" s="27"/>
      <c r="AE879" s="27"/>
      <c r="AF879" s="27"/>
      <c r="AG879" s="27"/>
      <c r="AH879" s="27"/>
      <c r="AI879" s="28"/>
      <c r="AJ879" s="29"/>
      <c r="AK879" s="29"/>
      <c r="AL879" s="27"/>
      <c r="AM879" s="27"/>
      <c r="AN879" s="27"/>
      <c r="AO879" s="27"/>
      <c r="AP879" s="27"/>
      <c r="AY879" s="27"/>
      <c r="AZ879" s="27"/>
      <c r="BA879" s="27"/>
      <c r="BB879" s="27"/>
      <c r="BC879" s="28"/>
      <c r="BD879" s="29"/>
      <c r="BE879" s="29"/>
      <c r="BF879" s="27"/>
      <c r="BG879" s="27"/>
      <c r="BH879" s="27"/>
      <c r="BI879" s="27"/>
      <c r="BJ879" s="27"/>
      <c r="BK879" s="27"/>
      <c r="BL879" s="27"/>
      <c r="BM879" s="27"/>
    </row>
    <row r="880">
      <c r="I880" s="27"/>
      <c r="J880" s="27"/>
      <c r="K880" s="27"/>
      <c r="L880" s="27"/>
      <c r="M880" s="28"/>
      <c r="N880" s="29"/>
      <c r="O880" s="29"/>
      <c r="P880" s="29"/>
      <c r="Q880" s="27"/>
      <c r="R880" s="27"/>
      <c r="S880" s="27"/>
      <c r="T880" s="27"/>
      <c r="U880" s="27"/>
      <c r="V880" s="27"/>
      <c r="AE880" s="27"/>
      <c r="AF880" s="27"/>
      <c r="AG880" s="27"/>
      <c r="AH880" s="27"/>
      <c r="AI880" s="28"/>
      <c r="AJ880" s="29"/>
      <c r="AK880" s="29"/>
      <c r="AL880" s="27"/>
      <c r="AM880" s="27"/>
      <c r="AN880" s="27"/>
      <c r="AO880" s="27"/>
      <c r="AP880" s="27"/>
      <c r="AY880" s="27"/>
      <c r="AZ880" s="27"/>
      <c r="BA880" s="27"/>
      <c r="BB880" s="27"/>
      <c r="BC880" s="28"/>
      <c r="BD880" s="29"/>
      <c r="BE880" s="29"/>
      <c r="BF880" s="27"/>
      <c r="BG880" s="27"/>
      <c r="BH880" s="27"/>
      <c r="BI880" s="27"/>
      <c r="BJ880" s="27"/>
      <c r="BK880" s="27"/>
      <c r="BL880" s="27"/>
      <c r="BM880" s="27"/>
    </row>
    <row r="881">
      <c r="I881" s="27"/>
      <c r="J881" s="27"/>
      <c r="K881" s="27"/>
      <c r="L881" s="27"/>
      <c r="M881" s="28"/>
      <c r="N881" s="29"/>
      <c r="O881" s="29"/>
      <c r="P881" s="29"/>
      <c r="Q881" s="27"/>
      <c r="R881" s="27"/>
      <c r="S881" s="27"/>
      <c r="T881" s="27"/>
      <c r="U881" s="27"/>
      <c r="V881" s="27"/>
      <c r="AE881" s="27"/>
      <c r="AF881" s="27"/>
      <c r="AG881" s="27"/>
      <c r="AH881" s="27"/>
      <c r="AI881" s="28"/>
      <c r="AJ881" s="29"/>
      <c r="AK881" s="29"/>
      <c r="AL881" s="27"/>
      <c r="AM881" s="27"/>
      <c r="AN881" s="27"/>
      <c r="AO881" s="27"/>
      <c r="AP881" s="27"/>
      <c r="AY881" s="27"/>
      <c r="AZ881" s="27"/>
      <c r="BA881" s="27"/>
      <c r="BB881" s="27"/>
      <c r="BC881" s="28"/>
      <c r="BD881" s="29"/>
      <c r="BE881" s="29"/>
      <c r="BF881" s="27"/>
      <c r="BG881" s="27"/>
      <c r="BH881" s="27"/>
      <c r="BI881" s="27"/>
      <c r="BJ881" s="27"/>
      <c r="BK881" s="27"/>
      <c r="BL881" s="27"/>
      <c r="BM881" s="27"/>
    </row>
    <row r="882">
      <c r="I882" s="27"/>
      <c r="J882" s="27"/>
      <c r="K882" s="27"/>
      <c r="L882" s="27"/>
      <c r="M882" s="28"/>
      <c r="N882" s="29"/>
      <c r="O882" s="29"/>
      <c r="P882" s="29"/>
      <c r="Q882" s="27"/>
      <c r="R882" s="27"/>
      <c r="S882" s="27"/>
      <c r="T882" s="27"/>
      <c r="U882" s="27"/>
      <c r="V882" s="27"/>
      <c r="AE882" s="27"/>
      <c r="AF882" s="27"/>
      <c r="AG882" s="27"/>
      <c r="AH882" s="27"/>
      <c r="AI882" s="28"/>
      <c r="AJ882" s="29"/>
      <c r="AK882" s="29"/>
      <c r="AL882" s="27"/>
      <c r="AM882" s="27"/>
      <c r="AN882" s="27"/>
      <c r="AO882" s="27"/>
      <c r="AP882" s="27"/>
      <c r="AY882" s="27"/>
      <c r="AZ882" s="27"/>
      <c r="BA882" s="27"/>
      <c r="BB882" s="27"/>
      <c r="BC882" s="28"/>
      <c r="BD882" s="29"/>
      <c r="BE882" s="29"/>
      <c r="BF882" s="27"/>
      <c r="BG882" s="27"/>
      <c r="BH882" s="27"/>
      <c r="BI882" s="27"/>
      <c r="BJ882" s="27"/>
      <c r="BK882" s="27"/>
      <c r="BL882" s="27"/>
      <c r="BM882" s="27"/>
    </row>
    <row r="883">
      <c r="I883" s="27"/>
      <c r="J883" s="27"/>
      <c r="K883" s="27"/>
      <c r="L883" s="27"/>
      <c r="M883" s="28"/>
      <c r="N883" s="29"/>
      <c r="O883" s="29"/>
      <c r="P883" s="29"/>
      <c r="Q883" s="27"/>
      <c r="R883" s="27"/>
      <c r="S883" s="27"/>
      <c r="T883" s="27"/>
      <c r="U883" s="27"/>
      <c r="V883" s="27"/>
      <c r="AE883" s="27"/>
      <c r="AF883" s="27"/>
      <c r="AG883" s="27"/>
      <c r="AH883" s="27"/>
      <c r="AI883" s="28"/>
      <c r="AJ883" s="29"/>
      <c r="AK883" s="29"/>
      <c r="AL883" s="27"/>
      <c r="AM883" s="27"/>
      <c r="AN883" s="27"/>
      <c r="AO883" s="27"/>
      <c r="AP883" s="27"/>
      <c r="AY883" s="27"/>
      <c r="AZ883" s="27"/>
      <c r="BA883" s="27"/>
      <c r="BB883" s="27"/>
      <c r="BC883" s="28"/>
      <c r="BD883" s="29"/>
      <c r="BE883" s="29"/>
      <c r="BF883" s="27"/>
      <c r="BG883" s="27"/>
      <c r="BH883" s="27"/>
      <c r="BI883" s="27"/>
      <c r="BJ883" s="27"/>
      <c r="BK883" s="27"/>
      <c r="BL883" s="27"/>
      <c r="BM883" s="27"/>
    </row>
    <row r="884">
      <c r="I884" s="27"/>
      <c r="J884" s="27"/>
      <c r="K884" s="27"/>
      <c r="L884" s="27"/>
      <c r="M884" s="28"/>
      <c r="N884" s="29"/>
      <c r="O884" s="29"/>
      <c r="P884" s="29"/>
      <c r="Q884" s="27"/>
      <c r="R884" s="27"/>
      <c r="S884" s="27"/>
      <c r="T884" s="27"/>
      <c r="U884" s="27"/>
      <c r="V884" s="27"/>
      <c r="AE884" s="27"/>
      <c r="AF884" s="27"/>
      <c r="AG884" s="27"/>
      <c r="AH884" s="27"/>
      <c r="AI884" s="28"/>
      <c r="AJ884" s="29"/>
      <c r="AK884" s="29"/>
      <c r="AL884" s="27"/>
      <c r="AM884" s="27"/>
      <c r="AN884" s="27"/>
      <c r="AO884" s="27"/>
      <c r="AP884" s="27"/>
      <c r="AY884" s="27"/>
      <c r="AZ884" s="27"/>
      <c r="BA884" s="27"/>
      <c r="BB884" s="27"/>
      <c r="BC884" s="28"/>
      <c r="BD884" s="29"/>
      <c r="BE884" s="29"/>
      <c r="BF884" s="27"/>
      <c r="BG884" s="27"/>
      <c r="BH884" s="27"/>
      <c r="BI884" s="27"/>
      <c r="BJ884" s="27"/>
      <c r="BK884" s="27"/>
      <c r="BL884" s="27"/>
      <c r="BM884" s="27"/>
    </row>
    <row r="885">
      <c r="I885" s="27"/>
      <c r="J885" s="27"/>
      <c r="K885" s="27"/>
      <c r="L885" s="27"/>
      <c r="M885" s="28"/>
      <c r="N885" s="29"/>
      <c r="O885" s="29"/>
      <c r="P885" s="29"/>
      <c r="Q885" s="27"/>
      <c r="R885" s="27"/>
      <c r="S885" s="27"/>
      <c r="T885" s="27"/>
      <c r="U885" s="27"/>
      <c r="V885" s="27"/>
      <c r="AE885" s="27"/>
      <c r="AF885" s="27"/>
      <c r="AG885" s="27"/>
      <c r="AH885" s="27"/>
      <c r="AI885" s="28"/>
      <c r="AJ885" s="29"/>
      <c r="AK885" s="29"/>
      <c r="AL885" s="27"/>
      <c r="AM885" s="27"/>
      <c r="AN885" s="27"/>
      <c r="AO885" s="27"/>
      <c r="AP885" s="27"/>
      <c r="AY885" s="27"/>
      <c r="AZ885" s="27"/>
      <c r="BA885" s="27"/>
      <c r="BB885" s="27"/>
      <c r="BC885" s="28"/>
      <c r="BD885" s="29"/>
      <c r="BE885" s="29"/>
      <c r="BF885" s="27"/>
      <c r="BG885" s="27"/>
      <c r="BH885" s="27"/>
      <c r="BI885" s="27"/>
      <c r="BJ885" s="27"/>
      <c r="BK885" s="27"/>
      <c r="BL885" s="27"/>
      <c r="BM885" s="27"/>
    </row>
    <row r="886">
      <c r="I886" s="27"/>
      <c r="J886" s="27"/>
      <c r="K886" s="27"/>
      <c r="L886" s="27"/>
      <c r="M886" s="28"/>
      <c r="N886" s="29"/>
      <c r="O886" s="29"/>
      <c r="P886" s="29"/>
      <c r="Q886" s="27"/>
      <c r="R886" s="27"/>
      <c r="S886" s="27"/>
      <c r="T886" s="27"/>
      <c r="U886" s="27"/>
      <c r="V886" s="27"/>
      <c r="AE886" s="27"/>
      <c r="AF886" s="27"/>
      <c r="AG886" s="27"/>
      <c r="AH886" s="27"/>
      <c r="AI886" s="28"/>
      <c r="AJ886" s="29"/>
      <c r="AK886" s="29"/>
      <c r="AL886" s="27"/>
      <c r="AM886" s="27"/>
      <c r="AN886" s="27"/>
      <c r="AO886" s="27"/>
      <c r="AP886" s="27"/>
      <c r="AY886" s="27"/>
      <c r="AZ886" s="27"/>
      <c r="BA886" s="27"/>
      <c r="BB886" s="27"/>
      <c r="BC886" s="28"/>
      <c r="BD886" s="29"/>
      <c r="BE886" s="29"/>
      <c r="BF886" s="27"/>
      <c r="BG886" s="27"/>
      <c r="BH886" s="27"/>
      <c r="BI886" s="27"/>
      <c r="BJ886" s="27"/>
      <c r="BK886" s="27"/>
      <c r="BL886" s="27"/>
      <c r="BM886" s="27"/>
    </row>
    <row r="887">
      <c r="I887" s="27"/>
      <c r="J887" s="27"/>
      <c r="K887" s="27"/>
      <c r="L887" s="27"/>
      <c r="M887" s="28"/>
      <c r="N887" s="29"/>
      <c r="O887" s="29"/>
      <c r="P887" s="29"/>
      <c r="Q887" s="27"/>
      <c r="R887" s="27"/>
      <c r="S887" s="27"/>
      <c r="T887" s="27"/>
      <c r="U887" s="27"/>
      <c r="V887" s="27"/>
      <c r="AE887" s="27"/>
      <c r="AF887" s="27"/>
      <c r="AG887" s="27"/>
      <c r="AH887" s="27"/>
      <c r="AI887" s="28"/>
      <c r="AJ887" s="29"/>
      <c r="AK887" s="29"/>
      <c r="AL887" s="27"/>
      <c r="AM887" s="27"/>
      <c r="AN887" s="27"/>
      <c r="AO887" s="27"/>
      <c r="AP887" s="27"/>
      <c r="AY887" s="27"/>
      <c r="AZ887" s="27"/>
      <c r="BA887" s="27"/>
      <c r="BB887" s="27"/>
      <c r="BC887" s="28"/>
      <c r="BD887" s="29"/>
      <c r="BE887" s="29"/>
      <c r="BF887" s="27"/>
      <c r="BG887" s="27"/>
      <c r="BH887" s="27"/>
      <c r="BI887" s="27"/>
      <c r="BJ887" s="27"/>
      <c r="BK887" s="27"/>
      <c r="BL887" s="27"/>
      <c r="BM887" s="27"/>
    </row>
    <row r="888">
      <c r="I888" s="27"/>
      <c r="J888" s="27"/>
      <c r="K888" s="27"/>
      <c r="L888" s="27"/>
      <c r="M888" s="28"/>
      <c r="N888" s="29"/>
      <c r="O888" s="29"/>
      <c r="P888" s="29"/>
      <c r="Q888" s="27"/>
      <c r="R888" s="27"/>
      <c r="S888" s="27"/>
      <c r="T888" s="27"/>
      <c r="U888" s="27"/>
      <c r="V888" s="27"/>
      <c r="AE888" s="27"/>
      <c r="AF888" s="27"/>
      <c r="AG888" s="27"/>
      <c r="AH888" s="27"/>
      <c r="AI888" s="28"/>
      <c r="AJ888" s="29"/>
      <c r="AK888" s="29"/>
      <c r="AL888" s="27"/>
      <c r="AM888" s="27"/>
      <c r="AN888" s="27"/>
      <c r="AO888" s="27"/>
      <c r="AP888" s="27"/>
      <c r="AY888" s="27"/>
      <c r="AZ888" s="27"/>
      <c r="BA888" s="27"/>
      <c r="BB888" s="27"/>
      <c r="BC888" s="28"/>
      <c r="BD888" s="29"/>
      <c r="BE888" s="29"/>
      <c r="BF888" s="27"/>
      <c r="BG888" s="27"/>
      <c r="BH888" s="27"/>
      <c r="BI888" s="27"/>
      <c r="BJ888" s="27"/>
      <c r="BK888" s="27"/>
      <c r="BL888" s="27"/>
      <c r="BM888" s="27"/>
    </row>
    <row r="889">
      <c r="I889" s="27"/>
      <c r="J889" s="27"/>
      <c r="K889" s="27"/>
      <c r="L889" s="27"/>
      <c r="M889" s="28"/>
      <c r="N889" s="29"/>
      <c r="O889" s="29"/>
      <c r="P889" s="29"/>
      <c r="Q889" s="27"/>
      <c r="R889" s="27"/>
      <c r="S889" s="27"/>
      <c r="T889" s="27"/>
      <c r="U889" s="27"/>
      <c r="V889" s="27"/>
      <c r="AE889" s="27"/>
      <c r="AF889" s="27"/>
      <c r="AG889" s="27"/>
      <c r="AH889" s="27"/>
      <c r="AI889" s="28"/>
      <c r="AJ889" s="29"/>
      <c r="AK889" s="29"/>
      <c r="AL889" s="27"/>
      <c r="AM889" s="27"/>
      <c r="AN889" s="27"/>
      <c r="AO889" s="27"/>
      <c r="AP889" s="27"/>
      <c r="AY889" s="27"/>
      <c r="AZ889" s="27"/>
      <c r="BA889" s="27"/>
      <c r="BB889" s="27"/>
      <c r="BC889" s="28"/>
      <c r="BD889" s="29"/>
      <c r="BE889" s="29"/>
      <c r="BF889" s="27"/>
      <c r="BG889" s="27"/>
      <c r="BH889" s="27"/>
      <c r="BI889" s="27"/>
      <c r="BJ889" s="27"/>
      <c r="BK889" s="27"/>
      <c r="BL889" s="27"/>
      <c r="BM889" s="27"/>
    </row>
    <row r="890">
      <c r="I890" s="27"/>
      <c r="J890" s="27"/>
      <c r="K890" s="27"/>
      <c r="L890" s="27"/>
      <c r="M890" s="28"/>
      <c r="N890" s="29"/>
      <c r="O890" s="29"/>
      <c r="P890" s="29"/>
      <c r="Q890" s="27"/>
      <c r="R890" s="27"/>
      <c r="S890" s="27"/>
      <c r="T890" s="27"/>
      <c r="U890" s="27"/>
      <c r="V890" s="27"/>
      <c r="AE890" s="27"/>
      <c r="AF890" s="27"/>
      <c r="AG890" s="27"/>
      <c r="AH890" s="27"/>
      <c r="AI890" s="28"/>
      <c r="AJ890" s="29"/>
      <c r="AK890" s="29"/>
      <c r="AL890" s="27"/>
      <c r="AM890" s="27"/>
      <c r="AN890" s="27"/>
      <c r="AO890" s="27"/>
      <c r="AP890" s="27"/>
      <c r="AY890" s="27"/>
      <c r="AZ890" s="27"/>
      <c r="BA890" s="27"/>
      <c r="BB890" s="27"/>
      <c r="BC890" s="28"/>
      <c r="BD890" s="29"/>
      <c r="BE890" s="29"/>
      <c r="BF890" s="27"/>
      <c r="BG890" s="27"/>
      <c r="BH890" s="27"/>
      <c r="BI890" s="27"/>
      <c r="BJ890" s="27"/>
      <c r="BK890" s="27"/>
      <c r="BL890" s="27"/>
      <c r="BM890" s="27"/>
    </row>
    <row r="891">
      <c r="I891" s="27"/>
      <c r="J891" s="27"/>
      <c r="K891" s="27"/>
      <c r="L891" s="27"/>
      <c r="M891" s="28"/>
      <c r="N891" s="29"/>
      <c r="O891" s="29"/>
      <c r="P891" s="29"/>
      <c r="Q891" s="27"/>
      <c r="R891" s="27"/>
      <c r="S891" s="27"/>
      <c r="T891" s="27"/>
      <c r="U891" s="27"/>
      <c r="V891" s="27"/>
      <c r="AE891" s="27"/>
      <c r="AF891" s="27"/>
      <c r="AG891" s="27"/>
      <c r="AH891" s="27"/>
      <c r="AI891" s="28"/>
      <c r="AJ891" s="29"/>
      <c r="AK891" s="29"/>
      <c r="AL891" s="27"/>
      <c r="AM891" s="27"/>
      <c r="AN891" s="27"/>
      <c r="AO891" s="27"/>
      <c r="AP891" s="27"/>
      <c r="AY891" s="27"/>
      <c r="AZ891" s="27"/>
      <c r="BA891" s="27"/>
      <c r="BB891" s="27"/>
      <c r="BC891" s="28"/>
      <c r="BD891" s="29"/>
      <c r="BE891" s="29"/>
      <c r="BF891" s="27"/>
      <c r="BG891" s="27"/>
      <c r="BH891" s="27"/>
      <c r="BI891" s="27"/>
      <c r="BJ891" s="27"/>
      <c r="BK891" s="27"/>
      <c r="BL891" s="27"/>
      <c r="BM891" s="27"/>
    </row>
    <row r="892">
      <c r="I892" s="27"/>
      <c r="J892" s="27"/>
      <c r="K892" s="27"/>
      <c r="L892" s="27"/>
      <c r="M892" s="28"/>
      <c r="N892" s="29"/>
      <c r="O892" s="29"/>
      <c r="P892" s="29"/>
      <c r="Q892" s="27"/>
      <c r="R892" s="27"/>
      <c r="S892" s="27"/>
      <c r="T892" s="27"/>
      <c r="U892" s="27"/>
      <c r="V892" s="27"/>
      <c r="AE892" s="27"/>
      <c r="AF892" s="27"/>
      <c r="AG892" s="27"/>
      <c r="AH892" s="27"/>
      <c r="AI892" s="28"/>
      <c r="AJ892" s="29"/>
      <c r="AK892" s="29"/>
      <c r="AL892" s="27"/>
      <c r="AM892" s="27"/>
      <c r="AN892" s="27"/>
      <c r="AO892" s="27"/>
      <c r="AP892" s="27"/>
      <c r="AY892" s="27"/>
      <c r="AZ892" s="27"/>
      <c r="BA892" s="27"/>
      <c r="BB892" s="27"/>
      <c r="BC892" s="28"/>
      <c r="BD892" s="29"/>
      <c r="BE892" s="29"/>
      <c r="BF892" s="27"/>
      <c r="BG892" s="27"/>
      <c r="BH892" s="27"/>
      <c r="BI892" s="27"/>
      <c r="BJ892" s="27"/>
      <c r="BK892" s="27"/>
      <c r="BL892" s="27"/>
      <c r="BM892" s="27"/>
    </row>
    <row r="893">
      <c r="I893" s="27"/>
      <c r="J893" s="27"/>
      <c r="K893" s="27"/>
      <c r="L893" s="27"/>
      <c r="M893" s="28"/>
      <c r="N893" s="29"/>
      <c r="O893" s="29"/>
      <c r="P893" s="29"/>
      <c r="Q893" s="27"/>
      <c r="R893" s="27"/>
      <c r="S893" s="27"/>
      <c r="T893" s="27"/>
      <c r="U893" s="27"/>
      <c r="V893" s="27"/>
      <c r="AE893" s="27"/>
      <c r="AF893" s="27"/>
      <c r="AG893" s="27"/>
      <c r="AH893" s="27"/>
      <c r="AI893" s="28"/>
      <c r="AJ893" s="29"/>
      <c r="AK893" s="29"/>
      <c r="AL893" s="27"/>
      <c r="AM893" s="27"/>
      <c r="AN893" s="27"/>
      <c r="AO893" s="27"/>
      <c r="AP893" s="27"/>
      <c r="AY893" s="27"/>
      <c r="AZ893" s="27"/>
      <c r="BA893" s="27"/>
      <c r="BB893" s="27"/>
      <c r="BC893" s="28"/>
      <c r="BD893" s="29"/>
      <c r="BE893" s="29"/>
      <c r="BF893" s="27"/>
      <c r="BG893" s="27"/>
      <c r="BH893" s="27"/>
      <c r="BI893" s="27"/>
      <c r="BJ893" s="27"/>
      <c r="BK893" s="27"/>
      <c r="BL893" s="27"/>
      <c r="BM893" s="27"/>
    </row>
    <row r="894">
      <c r="I894" s="27"/>
      <c r="J894" s="27"/>
      <c r="K894" s="27"/>
      <c r="L894" s="27"/>
      <c r="M894" s="28"/>
      <c r="N894" s="29"/>
      <c r="O894" s="29"/>
      <c r="P894" s="29"/>
      <c r="Q894" s="27"/>
      <c r="R894" s="27"/>
      <c r="S894" s="27"/>
      <c r="T894" s="27"/>
      <c r="U894" s="27"/>
      <c r="V894" s="27"/>
      <c r="AE894" s="27"/>
      <c r="AF894" s="27"/>
      <c r="AG894" s="27"/>
      <c r="AH894" s="27"/>
      <c r="AI894" s="28"/>
      <c r="AJ894" s="29"/>
      <c r="AK894" s="29"/>
      <c r="AL894" s="27"/>
      <c r="AM894" s="27"/>
      <c r="AN894" s="27"/>
      <c r="AO894" s="27"/>
      <c r="AP894" s="27"/>
      <c r="AY894" s="27"/>
      <c r="AZ894" s="27"/>
      <c r="BA894" s="27"/>
      <c r="BB894" s="27"/>
      <c r="BC894" s="28"/>
      <c r="BD894" s="29"/>
      <c r="BE894" s="29"/>
      <c r="BF894" s="27"/>
      <c r="BG894" s="27"/>
      <c r="BH894" s="27"/>
      <c r="BI894" s="27"/>
      <c r="BJ894" s="27"/>
      <c r="BK894" s="27"/>
      <c r="BL894" s="27"/>
      <c r="BM894" s="27"/>
    </row>
    <row r="895">
      <c r="I895" s="27"/>
      <c r="J895" s="27"/>
      <c r="K895" s="27"/>
      <c r="L895" s="27"/>
      <c r="M895" s="28"/>
      <c r="N895" s="29"/>
      <c r="O895" s="29"/>
      <c r="P895" s="29"/>
      <c r="Q895" s="27"/>
      <c r="R895" s="27"/>
      <c r="S895" s="27"/>
      <c r="T895" s="27"/>
      <c r="U895" s="27"/>
      <c r="V895" s="27"/>
      <c r="AE895" s="27"/>
      <c r="AF895" s="27"/>
      <c r="AG895" s="27"/>
      <c r="AH895" s="27"/>
      <c r="AI895" s="28"/>
      <c r="AJ895" s="29"/>
      <c r="AK895" s="29"/>
      <c r="AL895" s="27"/>
      <c r="AM895" s="27"/>
      <c r="AN895" s="27"/>
      <c r="AO895" s="27"/>
      <c r="AP895" s="27"/>
      <c r="AY895" s="27"/>
      <c r="AZ895" s="27"/>
      <c r="BA895" s="27"/>
      <c r="BB895" s="27"/>
      <c r="BC895" s="28"/>
      <c r="BD895" s="29"/>
      <c r="BE895" s="29"/>
      <c r="BF895" s="27"/>
      <c r="BG895" s="27"/>
      <c r="BH895" s="27"/>
      <c r="BI895" s="27"/>
      <c r="BJ895" s="27"/>
      <c r="BK895" s="27"/>
      <c r="BL895" s="27"/>
      <c r="BM895" s="27"/>
    </row>
    <row r="896">
      <c r="I896" s="27"/>
      <c r="J896" s="27"/>
      <c r="K896" s="27"/>
      <c r="L896" s="27"/>
      <c r="M896" s="28"/>
      <c r="N896" s="29"/>
      <c r="O896" s="29"/>
      <c r="P896" s="29"/>
      <c r="Q896" s="27"/>
      <c r="R896" s="27"/>
      <c r="S896" s="27"/>
      <c r="T896" s="27"/>
      <c r="U896" s="27"/>
      <c r="V896" s="27"/>
      <c r="AE896" s="27"/>
      <c r="AF896" s="27"/>
      <c r="AG896" s="27"/>
      <c r="AH896" s="27"/>
      <c r="AI896" s="28"/>
      <c r="AJ896" s="29"/>
      <c r="AK896" s="29"/>
      <c r="AL896" s="27"/>
      <c r="AM896" s="27"/>
      <c r="AN896" s="27"/>
      <c r="AO896" s="27"/>
      <c r="AP896" s="27"/>
      <c r="AY896" s="27"/>
      <c r="AZ896" s="27"/>
      <c r="BA896" s="27"/>
      <c r="BB896" s="27"/>
      <c r="BC896" s="28"/>
      <c r="BD896" s="29"/>
      <c r="BE896" s="29"/>
      <c r="BF896" s="27"/>
      <c r="BG896" s="27"/>
      <c r="BH896" s="27"/>
      <c r="BI896" s="27"/>
      <c r="BJ896" s="27"/>
      <c r="BK896" s="27"/>
      <c r="BL896" s="27"/>
      <c r="BM896" s="27"/>
    </row>
    <row r="897">
      <c r="I897" s="27"/>
      <c r="J897" s="27"/>
      <c r="K897" s="27"/>
      <c r="L897" s="27"/>
      <c r="M897" s="28"/>
      <c r="N897" s="29"/>
      <c r="O897" s="29"/>
      <c r="P897" s="29"/>
      <c r="Q897" s="27"/>
      <c r="R897" s="27"/>
      <c r="S897" s="27"/>
      <c r="T897" s="27"/>
      <c r="U897" s="27"/>
      <c r="V897" s="27"/>
      <c r="AE897" s="27"/>
      <c r="AF897" s="27"/>
      <c r="AG897" s="27"/>
      <c r="AH897" s="27"/>
      <c r="AI897" s="28"/>
      <c r="AJ897" s="29"/>
      <c r="AK897" s="29"/>
      <c r="AL897" s="27"/>
      <c r="AM897" s="27"/>
      <c r="AN897" s="27"/>
      <c r="AO897" s="27"/>
      <c r="AP897" s="27"/>
      <c r="AY897" s="27"/>
      <c r="AZ897" s="27"/>
      <c r="BA897" s="27"/>
      <c r="BB897" s="27"/>
      <c r="BC897" s="28"/>
      <c r="BD897" s="29"/>
      <c r="BE897" s="29"/>
      <c r="BF897" s="27"/>
      <c r="BG897" s="27"/>
      <c r="BH897" s="27"/>
      <c r="BI897" s="27"/>
      <c r="BJ897" s="27"/>
      <c r="BK897" s="27"/>
      <c r="BL897" s="27"/>
      <c r="BM897" s="27"/>
    </row>
    <row r="898">
      <c r="I898" s="27"/>
      <c r="J898" s="27"/>
      <c r="K898" s="27"/>
      <c r="L898" s="27"/>
      <c r="M898" s="28"/>
      <c r="N898" s="29"/>
      <c r="O898" s="29"/>
      <c r="P898" s="29"/>
      <c r="Q898" s="27"/>
      <c r="R898" s="27"/>
      <c r="S898" s="27"/>
      <c r="T898" s="27"/>
      <c r="U898" s="27"/>
      <c r="V898" s="27"/>
      <c r="AE898" s="27"/>
      <c r="AF898" s="27"/>
      <c r="AG898" s="27"/>
      <c r="AH898" s="27"/>
      <c r="AI898" s="28"/>
      <c r="AJ898" s="29"/>
      <c r="AK898" s="29"/>
      <c r="AL898" s="27"/>
      <c r="AM898" s="27"/>
      <c r="AN898" s="27"/>
      <c r="AO898" s="27"/>
      <c r="AP898" s="27"/>
      <c r="AY898" s="27"/>
      <c r="AZ898" s="27"/>
      <c r="BA898" s="27"/>
      <c r="BB898" s="27"/>
      <c r="BC898" s="28"/>
      <c r="BD898" s="29"/>
      <c r="BE898" s="29"/>
      <c r="BF898" s="27"/>
      <c r="BG898" s="27"/>
      <c r="BH898" s="27"/>
      <c r="BI898" s="27"/>
      <c r="BJ898" s="27"/>
      <c r="BK898" s="27"/>
      <c r="BL898" s="27"/>
      <c r="BM898" s="27"/>
    </row>
    <row r="899">
      <c r="I899" s="27"/>
      <c r="J899" s="27"/>
      <c r="K899" s="27"/>
      <c r="L899" s="27"/>
      <c r="M899" s="28"/>
      <c r="N899" s="29"/>
      <c r="O899" s="29"/>
      <c r="P899" s="29"/>
      <c r="Q899" s="27"/>
      <c r="R899" s="27"/>
      <c r="S899" s="27"/>
      <c r="T899" s="27"/>
      <c r="U899" s="27"/>
      <c r="V899" s="27"/>
      <c r="AE899" s="27"/>
      <c r="AF899" s="27"/>
      <c r="AG899" s="27"/>
      <c r="AH899" s="27"/>
      <c r="AI899" s="28"/>
      <c r="AJ899" s="29"/>
      <c r="AK899" s="29"/>
      <c r="AL899" s="27"/>
      <c r="AM899" s="27"/>
      <c r="AN899" s="27"/>
      <c r="AO899" s="27"/>
      <c r="AP899" s="27"/>
      <c r="AY899" s="27"/>
      <c r="AZ899" s="27"/>
      <c r="BA899" s="27"/>
      <c r="BB899" s="27"/>
      <c r="BC899" s="28"/>
      <c r="BD899" s="29"/>
      <c r="BE899" s="29"/>
      <c r="BF899" s="27"/>
      <c r="BG899" s="27"/>
      <c r="BH899" s="27"/>
      <c r="BI899" s="27"/>
      <c r="BJ899" s="27"/>
      <c r="BK899" s="27"/>
      <c r="BL899" s="27"/>
      <c r="BM899" s="27"/>
    </row>
    <row r="900">
      <c r="I900" s="27"/>
      <c r="J900" s="27"/>
      <c r="K900" s="27"/>
      <c r="L900" s="27"/>
      <c r="M900" s="28"/>
      <c r="N900" s="29"/>
      <c r="O900" s="29"/>
      <c r="P900" s="29"/>
      <c r="Q900" s="27"/>
      <c r="R900" s="27"/>
      <c r="S900" s="27"/>
      <c r="T900" s="27"/>
      <c r="U900" s="27"/>
      <c r="V900" s="27"/>
      <c r="AE900" s="27"/>
      <c r="AF900" s="27"/>
      <c r="AG900" s="27"/>
      <c r="AH900" s="27"/>
      <c r="AI900" s="28"/>
      <c r="AJ900" s="29"/>
      <c r="AK900" s="29"/>
      <c r="AL900" s="27"/>
      <c r="AM900" s="27"/>
      <c r="AN900" s="27"/>
      <c r="AO900" s="27"/>
      <c r="AP900" s="27"/>
      <c r="AY900" s="27"/>
      <c r="AZ900" s="27"/>
      <c r="BA900" s="27"/>
      <c r="BB900" s="27"/>
      <c r="BC900" s="28"/>
      <c r="BD900" s="29"/>
      <c r="BE900" s="29"/>
      <c r="BF900" s="27"/>
      <c r="BG900" s="27"/>
      <c r="BH900" s="27"/>
      <c r="BI900" s="27"/>
      <c r="BJ900" s="27"/>
      <c r="BK900" s="27"/>
      <c r="BL900" s="27"/>
      <c r="BM900" s="27"/>
    </row>
    <row r="901">
      <c r="I901" s="27"/>
      <c r="J901" s="27"/>
      <c r="K901" s="27"/>
      <c r="L901" s="27"/>
      <c r="M901" s="28"/>
      <c r="N901" s="29"/>
      <c r="O901" s="29"/>
      <c r="P901" s="29"/>
      <c r="Q901" s="27"/>
      <c r="R901" s="27"/>
      <c r="S901" s="27"/>
      <c r="T901" s="27"/>
      <c r="U901" s="27"/>
      <c r="V901" s="27"/>
      <c r="AE901" s="27"/>
      <c r="AF901" s="27"/>
      <c r="AG901" s="27"/>
      <c r="AH901" s="27"/>
      <c r="AI901" s="28"/>
      <c r="AJ901" s="29"/>
      <c r="AK901" s="29"/>
      <c r="AL901" s="27"/>
      <c r="AM901" s="27"/>
      <c r="AN901" s="27"/>
      <c r="AO901" s="27"/>
      <c r="AP901" s="27"/>
      <c r="AY901" s="27"/>
      <c r="AZ901" s="27"/>
      <c r="BA901" s="27"/>
      <c r="BB901" s="27"/>
      <c r="BC901" s="28"/>
      <c r="BD901" s="29"/>
      <c r="BE901" s="29"/>
      <c r="BF901" s="27"/>
      <c r="BG901" s="27"/>
      <c r="BH901" s="27"/>
      <c r="BI901" s="27"/>
      <c r="BJ901" s="27"/>
      <c r="BK901" s="27"/>
      <c r="BL901" s="27"/>
      <c r="BM901" s="27"/>
    </row>
    <row r="902">
      <c r="I902" s="27"/>
      <c r="J902" s="27"/>
      <c r="K902" s="27"/>
      <c r="L902" s="27"/>
      <c r="M902" s="28"/>
      <c r="N902" s="29"/>
      <c r="O902" s="29"/>
      <c r="P902" s="29"/>
      <c r="Q902" s="27"/>
      <c r="R902" s="27"/>
      <c r="S902" s="27"/>
      <c r="T902" s="27"/>
      <c r="U902" s="27"/>
      <c r="V902" s="27"/>
      <c r="AE902" s="27"/>
      <c r="AF902" s="27"/>
      <c r="AG902" s="27"/>
      <c r="AH902" s="27"/>
      <c r="AI902" s="28"/>
      <c r="AJ902" s="29"/>
      <c r="AK902" s="29"/>
      <c r="AL902" s="27"/>
      <c r="AM902" s="27"/>
      <c r="AN902" s="27"/>
      <c r="AO902" s="27"/>
      <c r="AP902" s="27"/>
      <c r="AY902" s="27"/>
      <c r="AZ902" s="27"/>
      <c r="BA902" s="27"/>
      <c r="BB902" s="27"/>
      <c r="BC902" s="28"/>
      <c r="BD902" s="29"/>
      <c r="BE902" s="29"/>
      <c r="BF902" s="27"/>
      <c r="BG902" s="27"/>
      <c r="BH902" s="27"/>
      <c r="BI902" s="27"/>
      <c r="BJ902" s="27"/>
      <c r="BK902" s="27"/>
      <c r="BL902" s="27"/>
      <c r="BM902" s="27"/>
    </row>
    <row r="903">
      <c r="I903" s="27"/>
      <c r="J903" s="27"/>
      <c r="K903" s="27"/>
      <c r="L903" s="27"/>
      <c r="M903" s="28"/>
      <c r="N903" s="29"/>
      <c r="O903" s="29"/>
      <c r="P903" s="29"/>
      <c r="Q903" s="27"/>
      <c r="R903" s="27"/>
      <c r="S903" s="27"/>
      <c r="T903" s="27"/>
      <c r="U903" s="27"/>
      <c r="V903" s="27"/>
      <c r="AE903" s="27"/>
      <c r="AF903" s="27"/>
      <c r="AG903" s="27"/>
      <c r="AH903" s="27"/>
      <c r="AI903" s="28"/>
      <c r="AJ903" s="29"/>
      <c r="AK903" s="29"/>
      <c r="AL903" s="27"/>
      <c r="AM903" s="27"/>
      <c r="AN903" s="27"/>
      <c r="AO903" s="27"/>
      <c r="AP903" s="27"/>
      <c r="AY903" s="27"/>
      <c r="AZ903" s="27"/>
      <c r="BA903" s="27"/>
      <c r="BB903" s="27"/>
      <c r="BC903" s="28"/>
      <c r="BD903" s="29"/>
      <c r="BE903" s="29"/>
      <c r="BF903" s="27"/>
      <c r="BG903" s="27"/>
      <c r="BH903" s="27"/>
      <c r="BI903" s="27"/>
      <c r="BJ903" s="27"/>
      <c r="BK903" s="27"/>
      <c r="BL903" s="27"/>
      <c r="BM903" s="27"/>
    </row>
    <row r="904">
      <c r="I904" s="27"/>
      <c r="J904" s="27"/>
      <c r="K904" s="27"/>
      <c r="L904" s="27"/>
      <c r="M904" s="28"/>
      <c r="N904" s="29"/>
      <c r="O904" s="29"/>
      <c r="P904" s="29"/>
      <c r="Q904" s="27"/>
      <c r="R904" s="27"/>
      <c r="S904" s="27"/>
      <c r="T904" s="27"/>
      <c r="U904" s="27"/>
      <c r="V904" s="27"/>
      <c r="AE904" s="27"/>
      <c r="AF904" s="27"/>
      <c r="AG904" s="27"/>
      <c r="AH904" s="27"/>
      <c r="AI904" s="28"/>
      <c r="AJ904" s="29"/>
      <c r="AK904" s="29"/>
      <c r="AL904" s="27"/>
      <c r="AM904" s="27"/>
      <c r="AN904" s="27"/>
      <c r="AO904" s="27"/>
      <c r="AP904" s="27"/>
      <c r="AY904" s="27"/>
      <c r="AZ904" s="27"/>
      <c r="BA904" s="27"/>
      <c r="BB904" s="27"/>
      <c r="BC904" s="28"/>
      <c r="BD904" s="29"/>
      <c r="BE904" s="29"/>
      <c r="BF904" s="27"/>
      <c r="BG904" s="27"/>
      <c r="BH904" s="27"/>
      <c r="BI904" s="27"/>
      <c r="BJ904" s="27"/>
      <c r="BK904" s="27"/>
      <c r="BL904" s="27"/>
      <c r="BM904" s="27"/>
    </row>
    <row r="905">
      <c r="I905" s="27"/>
      <c r="J905" s="27"/>
      <c r="K905" s="27"/>
      <c r="L905" s="27"/>
      <c r="M905" s="28"/>
      <c r="N905" s="29"/>
      <c r="O905" s="29"/>
      <c r="P905" s="29"/>
      <c r="Q905" s="27"/>
      <c r="R905" s="27"/>
      <c r="S905" s="27"/>
      <c r="T905" s="27"/>
      <c r="U905" s="27"/>
      <c r="V905" s="27"/>
      <c r="AE905" s="27"/>
      <c r="AF905" s="27"/>
      <c r="AG905" s="27"/>
      <c r="AH905" s="27"/>
      <c r="AI905" s="28"/>
      <c r="AJ905" s="29"/>
      <c r="AK905" s="29"/>
      <c r="AL905" s="27"/>
      <c r="AM905" s="27"/>
      <c r="AN905" s="27"/>
      <c r="AO905" s="27"/>
      <c r="AP905" s="27"/>
      <c r="AY905" s="27"/>
      <c r="AZ905" s="27"/>
      <c r="BA905" s="27"/>
      <c r="BB905" s="27"/>
      <c r="BC905" s="28"/>
      <c r="BD905" s="29"/>
      <c r="BE905" s="29"/>
      <c r="BF905" s="27"/>
      <c r="BG905" s="27"/>
      <c r="BH905" s="27"/>
      <c r="BI905" s="27"/>
      <c r="BJ905" s="27"/>
      <c r="BK905" s="27"/>
      <c r="BL905" s="27"/>
      <c r="BM905" s="27"/>
    </row>
    <row r="906">
      <c r="I906" s="27"/>
      <c r="J906" s="27"/>
      <c r="K906" s="27"/>
      <c r="L906" s="27"/>
      <c r="M906" s="28"/>
      <c r="N906" s="29"/>
      <c r="O906" s="29"/>
      <c r="P906" s="29"/>
      <c r="Q906" s="27"/>
      <c r="R906" s="27"/>
      <c r="S906" s="27"/>
      <c r="T906" s="27"/>
      <c r="U906" s="27"/>
      <c r="V906" s="27"/>
      <c r="AE906" s="27"/>
      <c r="AF906" s="27"/>
      <c r="AG906" s="27"/>
      <c r="AH906" s="27"/>
      <c r="AI906" s="28"/>
      <c r="AJ906" s="29"/>
      <c r="AK906" s="29"/>
      <c r="AL906" s="27"/>
      <c r="AM906" s="27"/>
      <c r="AN906" s="27"/>
      <c r="AO906" s="27"/>
      <c r="AP906" s="27"/>
      <c r="AY906" s="27"/>
      <c r="AZ906" s="27"/>
      <c r="BA906" s="27"/>
      <c r="BB906" s="27"/>
      <c r="BC906" s="28"/>
      <c r="BD906" s="29"/>
      <c r="BE906" s="29"/>
      <c r="BF906" s="27"/>
      <c r="BG906" s="27"/>
      <c r="BH906" s="27"/>
      <c r="BI906" s="27"/>
      <c r="BJ906" s="27"/>
      <c r="BK906" s="27"/>
      <c r="BL906" s="27"/>
      <c r="BM906" s="27"/>
    </row>
    <row r="907">
      <c r="I907" s="27"/>
      <c r="J907" s="27"/>
      <c r="K907" s="27"/>
      <c r="L907" s="27"/>
      <c r="M907" s="28"/>
      <c r="N907" s="29"/>
      <c r="O907" s="29"/>
      <c r="P907" s="29"/>
      <c r="Q907" s="27"/>
      <c r="R907" s="27"/>
      <c r="S907" s="27"/>
      <c r="T907" s="27"/>
      <c r="U907" s="27"/>
      <c r="V907" s="27"/>
      <c r="AE907" s="27"/>
      <c r="AF907" s="27"/>
      <c r="AG907" s="27"/>
      <c r="AH907" s="27"/>
      <c r="AI907" s="28"/>
      <c r="AJ907" s="29"/>
      <c r="AK907" s="29"/>
      <c r="AL907" s="27"/>
      <c r="AM907" s="27"/>
      <c r="AN907" s="27"/>
      <c r="AO907" s="27"/>
      <c r="AP907" s="27"/>
      <c r="AY907" s="27"/>
      <c r="AZ907" s="27"/>
      <c r="BA907" s="27"/>
      <c r="BB907" s="27"/>
      <c r="BC907" s="28"/>
      <c r="BD907" s="29"/>
      <c r="BE907" s="29"/>
      <c r="BF907" s="27"/>
      <c r="BG907" s="27"/>
      <c r="BH907" s="27"/>
      <c r="BI907" s="27"/>
      <c r="BJ907" s="27"/>
      <c r="BK907" s="27"/>
      <c r="BL907" s="27"/>
      <c r="BM907" s="27"/>
    </row>
    <row r="908">
      <c r="I908" s="27"/>
      <c r="J908" s="27"/>
      <c r="K908" s="27"/>
      <c r="L908" s="27"/>
      <c r="M908" s="28"/>
      <c r="N908" s="29"/>
      <c r="O908" s="29"/>
      <c r="P908" s="29"/>
      <c r="Q908" s="27"/>
      <c r="R908" s="27"/>
      <c r="S908" s="27"/>
      <c r="T908" s="27"/>
      <c r="U908" s="27"/>
      <c r="V908" s="27"/>
      <c r="AE908" s="27"/>
      <c r="AF908" s="27"/>
      <c r="AG908" s="27"/>
      <c r="AH908" s="27"/>
      <c r="AI908" s="28"/>
      <c r="AJ908" s="29"/>
      <c r="AK908" s="29"/>
      <c r="AL908" s="27"/>
      <c r="AM908" s="27"/>
      <c r="AN908" s="27"/>
      <c r="AO908" s="27"/>
      <c r="AP908" s="27"/>
      <c r="AY908" s="27"/>
      <c r="AZ908" s="27"/>
      <c r="BA908" s="27"/>
      <c r="BB908" s="27"/>
      <c r="BC908" s="28"/>
      <c r="BD908" s="29"/>
      <c r="BE908" s="29"/>
      <c r="BF908" s="27"/>
      <c r="BG908" s="27"/>
      <c r="BH908" s="27"/>
      <c r="BI908" s="27"/>
      <c r="BJ908" s="27"/>
      <c r="BK908" s="27"/>
      <c r="BL908" s="27"/>
      <c r="BM908" s="27"/>
    </row>
    <row r="909">
      <c r="I909" s="27"/>
      <c r="J909" s="27"/>
      <c r="K909" s="27"/>
      <c r="L909" s="27"/>
      <c r="M909" s="28"/>
      <c r="N909" s="29"/>
      <c r="O909" s="29"/>
      <c r="P909" s="29"/>
      <c r="Q909" s="27"/>
      <c r="R909" s="27"/>
      <c r="S909" s="27"/>
      <c r="T909" s="27"/>
      <c r="U909" s="27"/>
      <c r="V909" s="27"/>
      <c r="AE909" s="27"/>
      <c r="AF909" s="27"/>
      <c r="AG909" s="27"/>
      <c r="AH909" s="27"/>
      <c r="AI909" s="28"/>
      <c r="AJ909" s="29"/>
      <c r="AK909" s="29"/>
      <c r="AL909" s="27"/>
      <c r="AM909" s="27"/>
      <c r="AN909" s="27"/>
      <c r="AO909" s="27"/>
      <c r="AP909" s="27"/>
      <c r="AY909" s="27"/>
      <c r="AZ909" s="27"/>
      <c r="BA909" s="27"/>
      <c r="BB909" s="27"/>
      <c r="BC909" s="28"/>
      <c r="BD909" s="29"/>
      <c r="BE909" s="29"/>
      <c r="BF909" s="27"/>
      <c r="BG909" s="27"/>
      <c r="BH909" s="27"/>
      <c r="BI909" s="27"/>
      <c r="BJ909" s="27"/>
      <c r="BK909" s="27"/>
      <c r="BL909" s="27"/>
      <c r="BM909" s="27"/>
    </row>
    <row r="910">
      <c r="I910" s="27"/>
      <c r="J910" s="27"/>
      <c r="K910" s="27"/>
      <c r="L910" s="27"/>
      <c r="M910" s="28"/>
      <c r="N910" s="29"/>
      <c r="O910" s="29"/>
      <c r="P910" s="29"/>
      <c r="Q910" s="27"/>
      <c r="R910" s="27"/>
      <c r="S910" s="27"/>
      <c r="T910" s="27"/>
      <c r="U910" s="27"/>
      <c r="V910" s="27"/>
      <c r="AE910" s="27"/>
      <c r="AF910" s="27"/>
      <c r="AG910" s="27"/>
      <c r="AH910" s="27"/>
      <c r="AI910" s="28"/>
      <c r="AJ910" s="29"/>
      <c r="AK910" s="29"/>
      <c r="AL910" s="27"/>
      <c r="AM910" s="27"/>
      <c r="AN910" s="27"/>
      <c r="AO910" s="27"/>
      <c r="AP910" s="27"/>
      <c r="AY910" s="27"/>
      <c r="AZ910" s="27"/>
      <c r="BA910" s="27"/>
      <c r="BB910" s="27"/>
      <c r="BC910" s="28"/>
      <c r="BD910" s="29"/>
      <c r="BE910" s="29"/>
      <c r="BF910" s="27"/>
      <c r="BG910" s="27"/>
      <c r="BH910" s="27"/>
      <c r="BI910" s="27"/>
      <c r="BJ910" s="27"/>
      <c r="BK910" s="27"/>
      <c r="BL910" s="27"/>
      <c r="BM910" s="27"/>
    </row>
    <row r="911">
      <c r="I911" s="27"/>
      <c r="J911" s="27"/>
      <c r="K911" s="27"/>
      <c r="L911" s="27"/>
      <c r="M911" s="28"/>
      <c r="N911" s="29"/>
      <c r="O911" s="29"/>
      <c r="P911" s="29"/>
      <c r="Q911" s="27"/>
      <c r="R911" s="27"/>
      <c r="S911" s="27"/>
      <c r="T911" s="27"/>
      <c r="U911" s="27"/>
      <c r="V911" s="27"/>
      <c r="AE911" s="27"/>
      <c r="AF911" s="27"/>
      <c r="AG911" s="27"/>
      <c r="AH911" s="27"/>
      <c r="AI911" s="28"/>
      <c r="AJ911" s="29"/>
      <c r="AK911" s="29"/>
      <c r="AL911" s="27"/>
      <c r="AM911" s="27"/>
      <c r="AN911" s="27"/>
      <c r="AO911" s="27"/>
      <c r="AP911" s="27"/>
      <c r="AY911" s="27"/>
      <c r="AZ911" s="27"/>
      <c r="BA911" s="27"/>
      <c r="BB911" s="27"/>
      <c r="BC911" s="28"/>
      <c r="BD911" s="29"/>
      <c r="BE911" s="29"/>
      <c r="BF911" s="27"/>
      <c r="BG911" s="27"/>
      <c r="BH911" s="27"/>
      <c r="BI911" s="27"/>
      <c r="BJ911" s="27"/>
      <c r="BK911" s="27"/>
      <c r="BL911" s="27"/>
      <c r="BM911" s="27"/>
    </row>
    <row r="912">
      <c r="I912" s="27"/>
      <c r="J912" s="27"/>
      <c r="K912" s="27"/>
      <c r="L912" s="27"/>
      <c r="M912" s="28"/>
      <c r="N912" s="29"/>
      <c r="O912" s="29"/>
      <c r="P912" s="29"/>
      <c r="Q912" s="27"/>
      <c r="R912" s="27"/>
      <c r="S912" s="27"/>
      <c r="T912" s="27"/>
      <c r="U912" s="27"/>
      <c r="V912" s="27"/>
      <c r="AE912" s="27"/>
      <c r="AF912" s="27"/>
      <c r="AG912" s="27"/>
      <c r="AH912" s="27"/>
      <c r="AI912" s="28"/>
      <c r="AJ912" s="29"/>
      <c r="AK912" s="29"/>
      <c r="AL912" s="27"/>
      <c r="AM912" s="27"/>
      <c r="AN912" s="27"/>
      <c r="AO912" s="27"/>
      <c r="AP912" s="27"/>
      <c r="AY912" s="27"/>
      <c r="AZ912" s="27"/>
      <c r="BA912" s="27"/>
      <c r="BB912" s="27"/>
      <c r="BC912" s="28"/>
      <c r="BD912" s="29"/>
      <c r="BE912" s="29"/>
      <c r="BF912" s="27"/>
      <c r="BG912" s="27"/>
      <c r="BH912" s="27"/>
      <c r="BI912" s="27"/>
      <c r="BJ912" s="27"/>
      <c r="BK912" s="27"/>
      <c r="BL912" s="27"/>
      <c r="BM912" s="27"/>
    </row>
    <row r="913">
      <c r="I913" s="27"/>
      <c r="J913" s="27"/>
      <c r="K913" s="27"/>
      <c r="L913" s="27"/>
      <c r="M913" s="28"/>
      <c r="N913" s="29"/>
      <c r="O913" s="29"/>
      <c r="P913" s="29"/>
      <c r="Q913" s="27"/>
      <c r="R913" s="27"/>
      <c r="S913" s="27"/>
      <c r="T913" s="27"/>
      <c r="U913" s="27"/>
      <c r="V913" s="27"/>
      <c r="AE913" s="27"/>
      <c r="AF913" s="27"/>
      <c r="AG913" s="27"/>
      <c r="AH913" s="27"/>
      <c r="AI913" s="28"/>
      <c r="AJ913" s="29"/>
      <c r="AK913" s="29"/>
      <c r="AL913" s="27"/>
      <c r="AM913" s="27"/>
      <c r="AN913" s="27"/>
      <c r="AO913" s="27"/>
      <c r="AP913" s="27"/>
      <c r="AY913" s="27"/>
      <c r="AZ913" s="27"/>
      <c r="BA913" s="27"/>
      <c r="BB913" s="27"/>
      <c r="BC913" s="28"/>
      <c r="BD913" s="29"/>
      <c r="BE913" s="29"/>
      <c r="BF913" s="27"/>
      <c r="BG913" s="27"/>
      <c r="BH913" s="27"/>
      <c r="BI913" s="27"/>
      <c r="BJ913" s="27"/>
      <c r="BK913" s="27"/>
      <c r="BL913" s="27"/>
      <c r="BM913" s="27"/>
    </row>
    <row r="914">
      <c r="I914" s="27"/>
      <c r="J914" s="27"/>
      <c r="K914" s="27"/>
      <c r="L914" s="27"/>
      <c r="M914" s="28"/>
      <c r="N914" s="29"/>
      <c r="O914" s="29"/>
      <c r="P914" s="29"/>
      <c r="Q914" s="27"/>
      <c r="R914" s="27"/>
      <c r="S914" s="27"/>
      <c r="T914" s="27"/>
      <c r="U914" s="27"/>
      <c r="V914" s="27"/>
      <c r="AE914" s="27"/>
      <c r="AF914" s="27"/>
      <c r="AG914" s="27"/>
      <c r="AH914" s="27"/>
      <c r="AI914" s="28"/>
      <c r="AJ914" s="29"/>
      <c r="AK914" s="29"/>
      <c r="AL914" s="27"/>
      <c r="AM914" s="27"/>
      <c r="AN914" s="27"/>
      <c r="AO914" s="27"/>
      <c r="AP914" s="27"/>
      <c r="AY914" s="27"/>
      <c r="AZ914" s="27"/>
      <c r="BA914" s="27"/>
      <c r="BB914" s="27"/>
      <c r="BC914" s="28"/>
      <c r="BD914" s="29"/>
      <c r="BE914" s="29"/>
      <c r="BF914" s="27"/>
      <c r="BG914" s="27"/>
      <c r="BH914" s="27"/>
      <c r="BI914" s="27"/>
      <c r="BJ914" s="27"/>
      <c r="BK914" s="27"/>
      <c r="BL914" s="27"/>
      <c r="BM914" s="27"/>
    </row>
    <row r="915">
      <c r="I915" s="27"/>
      <c r="J915" s="27"/>
      <c r="K915" s="27"/>
      <c r="L915" s="27"/>
      <c r="M915" s="28"/>
      <c r="N915" s="29"/>
      <c r="O915" s="29"/>
      <c r="P915" s="29"/>
      <c r="Q915" s="27"/>
      <c r="R915" s="27"/>
      <c r="S915" s="27"/>
      <c r="T915" s="27"/>
      <c r="U915" s="27"/>
      <c r="V915" s="27"/>
      <c r="AE915" s="27"/>
      <c r="AF915" s="27"/>
      <c r="AG915" s="27"/>
      <c r="AH915" s="27"/>
      <c r="AI915" s="28"/>
      <c r="AJ915" s="29"/>
      <c r="AK915" s="29"/>
      <c r="AL915" s="27"/>
      <c r="AM915" s="27"/>
      <c r="AN915" s="27"/>
      <c r="AO915" s="27"/>
      <c r="AP915" s="27"/>
      <c r="AY915" s="27"/>
      <c r="AZ915" s="27"/>
      <c r="BA915" s="27"/>
      <c r="BB915" s="27"/>
      <c r="BC915" s="28"/>
      <c r="BD915" s="29"/>
      <c r="BE915" s="29"/>
      <c r="BF915" s="27"/>
      <c r="BG915" s="27"/>
      <c r="BH915" s="27"/>
      <c r="BI915" s="27"/>
      <c r="BJ915" s="27"/>
      <c r="BK915" s="27"/>
      <c r="BL915" s="27"/>
      <c r="BM915" s="27"/>
    </row>
    <row r="916">
      <c r="I916" s="27"/>
      <c r="J916" s="27"/>
      <c r="K916" s="27"/>
      <c r="L916" s="27"/>
      <c r="M916" s="28"/>
      <c r="N916" s="29"/>
      <c r="O916" s="29"/>
      <c r="P916" s="29"/>
      <c r="Q916" s="27"/>
      <c r="R916" s="27"/>
      <c r="S916" s="27"/>
      <c r="T916" s="27"/>
      <c r="U916" s="27"/>
      <c r="V916" s="27"/>
      <c r="AE916" s="27"/>
      <c r="AF916" s="27"/>
      <c r="AG916" s="27"/>
      <c r="AH916" s="27"/>
      <c r="AI916" s="28"/>
      <c r="AJ916" s="29"/>
      <c r="AK916" s="29"/>
      <c r="AL916" s="27"/>
      <c r="AM916" s="27"/>
      <c r="AN916" s="27"/>
      <c r="AO916" s="27"/>
      <c r="AP916" s="27"/>
      <c r="AY916" s="27"/>
      <c r="AZ916" s="27"/>
      <c r="BA916" s="27"/>
      <c r="BB916" s="27"/>
      <c r="BC916" s="28"/>
      <c r="BD916" s="29"/>
      <c r="BE916" s="29"/>
      <c r="BF916" s="27"/>
      <c r="BG916" s="27"/>
      <c r="BH916" s="27"/>
      <c r="BI916" s="27"/>
      <c r="BJ916" s="27"/>
      <c r="BK916" s="27"/>
      <c r="BL916" s="27"/>
      <c r="BM916" s="27"/>
    </row>
    <row r="917">
      <c r="I917" s="27"/>
      <c r="J917" s="27"/>
      <c r="K917" s="27"/>
      <c r="L917" s="27"/>
      <c r="M917" s="28"/>
      <c r="N917" s="29"/>
      <c r="O917" s="29"/>
      <c r="P917" s="29"/>
      <c r="Q917" s="27"/>
      <c r="R917" s="27"/>
      <c r="S917" s="27"/>
      <c r="T917" s="27"/>
      <c r="U917" s="27"/>
      <c r="V917" s="27"/>
      <c r="AE917" s="27"/>
      <c r="AF917" s="27"/>
      <c r="AG917" s="27"/>
      <c r="AH917" s="27"/>
      <c r="AI917" s="28"/>
      <c r="AJ917" s="29"/>
      <c r="AK917" s="29"/>
      <c r="AL917" s="27"/>
      <c r="AM917" s="27"/>
      <c r="AN917" s="27"/>
      <c r="AO917" s="27"/>
      <c r="AP917" s="27"/>
      <c r="AY917" s="27"/>
      <c r="AZ917" s="27"/>
      <c r="BA917" s="27"/>
      <c r="BB917" s="27"/>
      <c r="BC917" s="28"/>
      <c r="BD917" s="29"/>
      <c r="BE917" s="29"/>
      <c r="BF917" s="27"/>
      <c r="BG917" s="27"/>
      <c r="BH917" s="27"/>
      <c r="BI917" s="27"/>
      <c r="BJ917" s="27"/>
      <c r="BK917" s="27"/>
      <c r="BL917" s="27"/>
      <c r="BM917" s="27"/>
    </row>
    <row r="918">
      <c r="I918" s="27"/>
      <c r="J918" s="27"/>
      <c r="K918" s="27"/>
      <c r="L918" s="27"/>
      <c r="M918" s="28"/>
      <c r="N918" s="29"/>
      <c r="O918" s="29"/>
      <c r="P918" s="29"/>
      <c r="Q918" s="27"/>
      <c r="R918" s="27"/>
      <c r="S918" s="27"/>
      <c r="T918" s="27"/>
      <c r="U918" s="27"/>
      <c r="V918" s="27"/>
      <c r="AE918" s="27"/>
      <c r="AF918" s="27"/>
      <c r="AG918" s="27"/>
      <c r="AH918" s="27"/>
      <c r="AI918" s="28"/>
      <c r="AJ918" s="29"/>
      <c r="AK918" s="29"/>
      <c r="AL918" s="27"/>
      <c r="AM918" s="27"/>
      <c r="AN918" s="27"/>
      <c r="AO918" s="27"/>
      <c r="AP918" s="27"/>
      <c r="AY918" s="27"/>
      <c r="AZ918" s="27"/>
      <c r="BA918" s="27"/>
      <c r="BB918" s="27"/>
      <c r="BC918" s="28"/>
      <c r="BD918" s="29"/>
      <c r="BE918" s="29"/>
      <c r="BF918" s="27"/>
      <c r="BG918" s="27"/>
      <c r="BH918" s="27"/>
      <c r="BI918" s="27"/>
      <c r="BJ918" s="27"/>
      <c r="BK918" s="27"/>
      <c r="BL918" s="27"/>
      <c r="BM918" s="27"/>
    </row>
    <row r="919">
      <c r="I919" s="27"/>
      <c r="J919" s="27"/>
      <c r="K919" s="27"/>
      <c r="L919" s="27"/>
      <c r="M919" s="28"/>
      <c r="N919" s="29"/>
      <c r="O919" s="29"/>
      <c r="P919" s="29"/>
      <c r="Q919" s="27"/>
      <c r="R919" s="27"/>
      <c r="S919" s="27"/>
      <c r="T919" s="27"/>
      <c r="U919" s="27"/>
      <c r="V919" s="27"/>
      <c r="AE919" s="27"/>
      <c r="AF919" s="27"/>
      <c r="AG919" s="27"/>
      <c r="AH919" s="27"/>
      <c r="AI919" s="28"/>
      <c r="AJ919" s="29"/>
      <c r="AK919" s="29"/>
      <c r="AL919" s="27"/>
      <c r="AM919" s="27"/>
      <c r="AN919" s="27"/>
      <c r="AO919" s="27"/>
      <c r="AP919" s="27"/>
      <c r="AY919" s="27"/>
      <c r="AZ919" s="27"/>
      <c r="BA919" s="27"/>
      <c r="BB919" s="27"/>
      <c r="BC919" s="28"/>
      <c r="BD919" s="29"/>
      <c r="BE919" s="29"/>
      <c r="BF919" s="27"/>
      <c r="BG919" s="27"/>
      <c r="BH919" s="27"/>
      <c r="BI919" s="27"/>
      <c r="BJ919" s="27"/>
      <c r="BK919" s="27"/>
      <c r="BL919" s="27"/>
      <c r="BM919" s="27"/>
    </row>
    <row r="920">
      <c r="I920" s="27"/>
      <c r="J920" s="27"/>
      <c r="K920" s="27"/>
      <c r="L920" s="27"/>
      <c r="M920" s="28"/>
      <c r="N920" s="29"/>
      <c r="O920" s="29"/>
      <c r="P920" s="29"/>
      <c r="Q920" s="27"/>
      <c r="R920" s="27"/>
      <c r="S920" s="27"/>
      <c r="T920" s="27"/>
      <c r="U920" s="27"/>
      <c r="V920" s="27"/>
      <c r="AE920" s="27"/>
      <c r="AF920" s="27"/>
      <c r="AG920" s="27"/>
      <c r="AH920" s="27"/>
      <c r="AI920" s="28"/>
      <c r="AJ920" s="29"/>
      <c r="AK920" s="29"/>
      <c r="AL920" s="27"/>
      <c r="AM920" s="27"/>
      <c r="AN920" s="27"/>
      <c r="AO920" s="27"/>
      <c r="AP920" s="27"/>
      <c r="AY920" s="27"/>
      <c r="AZ920" s="27"/>
      <c r="BA920" s="27"/>
      <c r="BB920" s="27"/>
      <c r="BC920" s="28"/>
      <c r="BD920" s="29"/>
      <c r="BE920" s="29"/>
      <c r="BF920" s="27"/>
      <c r="BG920" s="27"/>
      <c r="BH920" s="27"/>
      <c r="BI920" s="27"/>
      <c r="BJ920" s="27"/>
      <c r="BK920" s="27"/>
      <c r="BL920" s="27"/>
      <c r="BM920" s="27"/>
    </row>
    <row r="921">
      <c r="I921" s="27"/>
      <c r="J921" s="27"/>
      <c r="K921" s="27"/>
      <c r="L921" s="27"/>
      <c r="M921" s="28"/>
      <c r="N921" s="29"/>
      <c r="O921" s="29"/>
      <c r="P921" s="29"/>
      <c r="Q921" s="27"/>
      <c r="R921" s="27"/>
      <c r="S921" s="27"/>
      <c r="T921" s="27"/>
      <c r="U921" s="27"/>
      <c r="V921" s="27"/>
      <c r="AE921" s="27"/>
      <c r="AF921" s="27"/>
      <c r="AG921" s="27"/>
      <c r="AH921" s="27"/>
      <c r="AI921" s="28"/>
      <c r="AJ921" s="29"/>
      <c r="AK921" s="29"/>
      <c r="AL921" s="27"/>
      <c r="AM921" s="27"/>
      <c r="AN921" s="27"/>
      <c r="AO921" s="27"/>
      <c r="AP921" s="27"/>
      <c r="AY921" s="27"/>
      <c r="AZ921" s="27"/>
      <c r="BA921" s="27"/>
      <c r="BB921" s="27"/>
      <c r="BC921" s="28"/>
      <c r="BD921" s="29"/>
      <c r="BE921" s="29"/>
      <c r="BF921" s="27"/>
      <c r="BG921" s="27"/>
      <c r="BH921" s="27"/>
      <c r="BI921" s="27"/>
      <c r="BJ921" s="27"/>
      <c r="BK921" s="27"/>
      <c r="BL921" s="27"/>
      <c r="BM921" s="27"/>
    </row>
    <row r="922">
      <c r="I922" s="27"/>
      <c r="J922" s="27"/>
      <c r="K922" s="27"/>
      <c r="L922" s="27"/>
      <c r="M922" s="28"/>
      <c r="N922" s="29"/>
      <c r="O922" s="29"/>
      <c r="P922" s="29"/>
      <c r="Q922" s="27"/>
      <c r="R922" s="27"/>
      <c r="S922" s="27"/>
      <c r="T922" s="27"/>
      <c r="U922" s="27"/>
      <c r="V922" s="27"/>
      <c r="AE922" s="27"/>
      <c r="AF922" s="27"/>
      <c r="AG922" s="27"/>
      <c r="AH922" s="27"/>
      <c r="AI922" s="28"/>
      <c r="AJ922" s="29"/>
      <c r="AK922" s="29"/>
      <c r="AL922" s="27"/>
      <c r="AM922" s="27"/>
      <c r="AN922" s="27"/>
      <c r="AO922" s="27"/>
      <c r="AP922" s="27"/>
      <c r="AY922" s="27"/>
      <c r="AZ922" s="27"/>
      <c r="BA922" s="27"/>
      <c r="BB922" s="27"/>
      <c r="BC922" s="28"/>
      <c r="BD922" s="29"/>
      <c r="BE922" s="29"/>
      <c r="BF922" s="27"/>
      <c r="BG922" s="27"/>
      <c r="BH922" s="27"/>
      <c r="BI922" s="27"/>
      <c r="BJ922" s="27"/>
      <c r="BK922" s="27"/>
      <c r="BL922" s="27"/>
      <c r="BM922" s="27"/>
    </row>
    <row r="923">
      <c r="I923" s="27"/>
      <c r="J923" s="27"/>
      <c r="K923" s="27"/>
      <c r="L923" s="27"/>
      <c r="M923" s="28"/>
      <c r="N923" s="29"/>
      <c r="O923" s="29"/>
      <c r="P923" s="29"/>
      <c r="Q923" s="27"/>
      <c r="R923" s="27"/>
      <c r="S923" s="27"/>
      <c r="T923" s="27"/>
      <c r="U923" s="27"/>
      <c r="V923" s="27"/>
      <c r="AE923" s="27"/>
      <c r="AF923" s="27"/>
      <c r="AG923" s="27"/>
      <c r="AH923" s="27"/>
      <c r="AI923" s="28"/>
      <c r="AJ923" s="29"/>
      <c r="AK923" s="29"/>
      <c r="AL923" s="27"/>
      <c r="AM923" s="27"/>
      <c r="AN923" s="27"/>
      <c r="AO923" s="27"/>
      <c r="AP923" s="27"/>
      <c r="AY923" s="27"/>
      <c r="AZ923" s="27"/>
      <c r="BA923" s="27"/>
      <c r="BB923" s="27"/>
      <c r="BC923" s="28"/>
      <c r="BD923" s="29"/>
      <c r="BE923" s="29"/>
      <c r="BF923" s="27"/>
      <c r="BG923" s="27"/>
      <c r="BH923" s="27"/>
      <c r="BI923" s="27"/>
      <c r="BJ923" s="27"/>
      <c r="BK923" s="27"/>
      <c r="BL923" s="27"/>
      <c r="BM923" s="27"/>
    </row>
    <row r="924">
      <c r="I924" s="27"/>
      <c r="J924" s="27"/>
      <c r="K924" s="27"/>
      <c r="L924" s="27"/>
      <c r="M924" s="28"/>
      <c r="N924" s="29"/>
      <c r="O924" s="29"/>
      <c r="P924" s="29"/>
      <c r="Q924" s="27"/>
      <c r="R924" s="27"/>
      <c r="S924" s="27"/>
      <c r="T924" s="27"/>
      <c r="U924" s="27"/>
      <c r="V924" s="27"/>
      <c r="AE924" s="27"/>
      <c r="AF924" s="27"/>
      <c r="AG924" s="27"/>
      <c r="AH924" s="27"/>
      <c r="AI924" s="28"/>
      <c r="AJ924" s="29"/>
      <c r="AK924" s="29"/>
      <c r="AL924" s="27"/>
      <c r="AM924" s="27"/>
      <c r="AN924" s="27"/>
      <c r="AO924" s="27"/>
      <c r="AP924" s="27"/>
      <c r="AY924" s="27"/>
      <c r="AZ924" s="27"/>
      <c r="BA924" s="27"/>
      <c r="BB924" s="27"/>
      <c r="BC924" s="28"/>
      <c r="BD924" s="29"/>
      <c r="BE924" s="29"/>
      <c r="BF924" s="27"/>
      <c r="BG924" s="27"/>
      <c r="BH924" s="27"/>
      <c r="BI924" s="27"/>
      <c r="BJ924" s="27"/>
      <c r="BK924" s="27"/>
      <c r="BL924" s="27"/>
      <c r="BM924" s="27"/>
    </row>
    <row r="925">
      <c r="I925" s="27"/>
      <c r="J925" s="27"/>
      <c r="K925" s="27"/>
      <c r="L925" s="27"/>
      <c r="M925" s="28"/>
      <c r="N925" s="29"/>
      <c r="O925" s="29"/>
      <c r="P925" s="29"/>
      <c r="Q925" s="27"/>
      <c r="R925" s="27"/>
      <c r="S925" s="27"/>
      <c r="T925" s="27"/>
      <c r="U925" s="27"/>
      <c r="V925" s="27"/>
      <c r="AE925" s="27"/>
      <c r="AF925" s="27"/>
      <c r="AG925" s="27"/>
      <c r="AH925" s="27"/>
      <c r="AI925" s="28"/>
      <c r="AJ925" s="29"/>
      <c r="AK925" s="29"/>
      <c r="AL925" s="27"/>
      <c r="AM925" s="27"/>
      <c r="AN925" s="27"/>
      <c r="AO925" s="27"/>
      <c r="AP925" s="27"/>
      <c r="AY925" s="27"/>
      <c r="AZ925" s="27"/>
      <c r="BA925" s="27"/>
      <c r="BB925" s="27"/>
      <c r="BC925" s="28"/>
      <c r="BD925" s="29"/>
      <c r="BE925" s="29"/>
      <c r="BF925" s="27"/>
      <c r="BG925" s="27"/>
      <c r="BH925" s="27"/>
      <c r="BI925" s="27"/>
      <c r="BJ925" s="27"/>
      <c r="BK925" s="27"/>
      <c r="BL925" s="27"/>
      <c r="BM925" s="27"/>
    </row>
    <row r="926">
      <c r="I926" s="27"/>
      <c r="J926" s="27"/>
      <c r="K926" s="27"/>
      <c r="L926" s="27"/>
      <c r="M926" s="28"/>
      <c r="N926" s="29"/>
      <c r="O926" s="29"/>
      <c r="P926" s="29"/>
      <c r="Q926" s="27"/>
      <c r="R926" s="27"/>
      <c r="S926" s="27"/>
      <c r="T926" s="27"/>
      <c r="U926" s="27"/>
      <c r="V926" s="27"/>
      <c r="AE926" s="27"/>
      <c r="AF926" s="27"/>
      <c r="AG926" s="27"/>
      <c r="AH926" s="27"/>
      <c r="AI926" s="28"/>
      <c r="AJ926" s="29"/>
      <c r="AK926" s="29"/>
      <c r="AL926" s="27"/>
      <c r="AM926" s="27"/>
      <c r="AN926" s="27"/>
      <c r="AO926" s="27"/>
      <c r="AP926" s="27"/>
      <c r="AY926" s="27"/>
      <c r="AZ926" s="27"/>
      <c r="BA926" s="27"/>
      <c r="BB926" s="27"/>
      <c r="BC926" s="28"/>
      <c r="BD926" s="29"/>
      <c r="BE926" s="29"/>
      <c r="BF926" s="27"/>
      <c r="BG926" s="27"/>
      <c r="BH926" s="27"/>
      <c r="BI926" s="27"/>
      <c r="BJ926" s="27"/>
      <c r="BK926" s="27"/>
      <c r="BL926" s="27"/>
      <c r="BM926" s="27"/>
    </row>
    <row r="927">
      <c r="I927" s="27"/>
      <c r="J927" s="27"/>
      <c r="K927" s="27"/>
      <c r="L927" s="27"/>
      <c r="M927" s="28"/>
      <c r="N927" s="29"/>
      <c r="O927" s="29"/>
      <c r="P927" s="29"/>
      <c r="Q927" s="27"/>
      <c r="R927" s="27"/>
      <c r="S927" s="27"/>
      <c r="T927" s="27"/>
      <c r="U927" s="27"/>
      <c r="V927" s="27"/>
      <c r="AE927" s="27"/>
      <c r="AF927" s="27"/>
      <c r="AG927" s="27"/>
      <c r="AH927" s="27"/>
      <c r="AI927" s="28"/>
      <c r="AJ927" s="29"/>
      <c r="AK927" s="29"/>
      <c r="AL927" s="27"/>
      <c r="AM927" s="27"/>
      <c r="AN927" s="27"/>
      <c r="AO927" s="27"/>
      <c r="AP927" s="27"/>
      <c r="AY927" s="27"/>
      <c r="AZ927" s="27"/>
      <c r="BA927" s="27"/>
      <c r="BB927" s="27"/>
      <c r="BC927" s="28"/>
      <c r="BD927" s="29"/>
      <c r="BE927" s="29"/>
      <c r="BF927" s="27"/>
      <c r="BG927" s="27"/>
      <c r="BH927" s="27"/>
      <c r="BI927" s="27"/>
      <c r="BJ927" s="27"/>
      <c r="BK927" s="27"/>
      <c r="BL927" s="27"/>
      <c r="BM927" s="27"/>
    </row>
    <row r="928">
      <c r="I928" s="27"/>
      <c r="J928" s="27"/>
      <c r="K928" s="27"/>
      <c r="L928" s="27"/>
      <c r="M928" s="28"/>
      <c r="N928" s="29"/>
      <c r="O928" s="29"/>
      <c r="P928" s="29"/>
      <c r="Q928" s="27"/>
      <c r="R928" s="27"/>
      <c r="S928" s="27"/>
      <c r="T928" s="27"/>
      <c r="U928" s="27"/>
      <c r="V928" s="27"/>
      <c r="AE928" s="27"/>
      <c r="AF928" s="27"/>
      <c r="AG928" s="27"/>
      <c r="AH928" s="27"/>
      <c r="AI928" s="28"/>
      <c r="AJ928" s="29"/>
      <c r="AK928" s="29"/>
      <c r="AL928" s="27"/>
      <c r="AM928" s="27"/>
      <c r="AN928" s="27"/>
      <c r="AO928" s="27"/>
      <c r="AP928" s="27"/>
      <c r="AY928" s="27"/>
      <c r="AZ928" s="27"/>
      <c r="BA928" s="27"/>
      <c r="BB928" s="27"/>
      <c r="BC928" s="28"/>
      <c r="BD928" s="29"/>
      <c r="BE928" s="29"/>
      <c r="BF928" s="27"/>
      <c r="BG928" s="27"/>
      <c r="BH928" s="27"/>
      <c r="BI928" s="27"/>
      <c r="BJ928" s="27"/>
      <c r="BK928" s="27"/>
      <c r="BL928" s="27"/>
      <c r="BM928" s="27"/>
    </row>
    <row r="929">
      <c r="I929" s="27"/>
      <c r="J929" s="27"/>
      <c r="K929" s="27"/>
      <c r="L929" s="27"/>
      <c r="M929" s="28"/>
      <c r="N929" s="29"/>
      <c r="O929" s="29"/>
      <c r="P929" s="29"/>
      <c r="Q929" s="27"/>
      <c r="R929" s="27"/>
      <c r="S929" s="27"/>
      <c r="T929" s="27"/>
      <c r="U929" s="27"/>
      <c r="V929" s="27"/>
      <c r="AE929" s="27"/>
      <c r="AF929" s="27"/>
      <c r="AG929" s="27"/>
      <c r="AH929" s="27"/>
      <c r="AI929" s="28"/>
      <c r="AJ929" s="29"/>
      <c r="AK929" s="29"/>
      <c r="AL929" s="27"/>
      <c r="AM929" s="27"/>
      <c r="AN929" s="27"/>
      <c r="AO929" s="27"/>
      <c r="AP929" s="27"/>
      <c r="AY929" s="27"/>
      <c r="AZ929" s="27"/>
      <c r="BA929" s="27"/>
      <c r="BB929" s="27"/>
      <c r="BC929" s="28"/>
      <c r="BD929" s="29"/>
      <c r="BE929" s="29"/>
      <c r="BF929" s="27"/>
      <c r="BG929" s="27"/>
      <c r="BH929" s="27"/>
      <c r="BI929" s="27"/>
      <c r="BJ929" s="27"/>
      <c r="BK929" s="27"/>
      <c r="BL929" s="27"/>
      <c r="BM929" s="27"/>
    </row>
    <row r="930">
      <c r="I930" s="27"/>
      <c r="J930" s="27"/>
      <c r="K930" s="27"/>
      <c r="L930" s="27"/>
      <c r="M930" s="28"/>
      <c r="N930" s="29"/>
      <c r="O930" s="29"/>
      <c r="P930" s="29"/>
      <c r="Q930" s="27"/>
      <c r="R930" s="27"/>
      <c r="S930" s="27"/>
      <c r="T930" s="27"/>
      <c r="U930" s="27"/>
      <c r="V930" s="27"/>
      <c r="AE930" s="27"/>
      <c r="AF930" s="27"/>
      <c r="AG930" s="27"/>
      <c r="AH930" s="27"/>
      <c r="AI930" s="28"/>
      <c r="AJ930" s="29"/>
      <c r="AK930" s="29"/>
      <c r="AL930" s="27"/>
      <c r="AM930" s="27"/>
      <c r="AN930" s="27"/>
      <c r="AO930" s="27"/>
      <c r="AP930" s="27"/>
      <c r="AY930" s="27"/>
      <c r="AZ930" s="27"/>
      <c r="BA930" s="27"/>
      <c r="BB930" s="27"/>
      <c r="BC930" s="28"/>
      <c r="BD930" s="29"/>
      <c r="BE930" s="29"/>
      <c r="BF930" s="27"/>
      <c r="BG930" s="27"/>
      <c r="BH930" s="27"/>
      <c r="BI930" s="27"/>
      <c r="BJ930" s="27"/>
      <c r="BK930" s="27"/>
      <c r="BL930" s="27"/>
      <c r="BM930" s="27"/>
    </row>
    <row r="931">
      <c r="I931" s="27"/>
      <c r="J931" s="27"/>
      <c r="K931" s="27"/>
      <c r="L931" s="27"/>
      <c r="M931" s="28"/>
      <c r="N931" s="29"/>
      <c r="O931" s="29"/>
      <c r="P931" s="29"/>
      <c r="Q931" s="27"/>
      <c r="R931" s="27"/>
      <c r="S931" s="27"/>
      <c r="T931" s="27"/>
      <c r="U931" s="27"/>
      <c r="V931" s="27"/>
      <c r="AE931" s="27"/>
      <c r="AF931" s="27"/>
      <c r="AG931" s="27"/>
      <c r="AH931" s="27"/>
      <c r="AI931" s="28"/>
      <c r="AJ931" s="29"/>
      <c r="AK931" s="29"/>
      <c r="AL931" s="27"/>
      <c r="AM931" s="27"/>
      <c r="AN931" s="27"/>
      <c r="AO931" s="27"/>
      <c r="AP931" s="27"/>
      <c r="AY931" s="27"/>
      <c r="AZ931" s="27"/>
      <c r="BA931" s="27"/>
      <c r="BB931" s="27"/>
      <c r="BC931" s="28"/>
      <c r="BD931" s="29"/>
      <c r="BE931" s="29"/>
      <c r="BF931" s="27"/>
      <c r="BG931" s="27"/>
      <c r="BH931" s="27"/>
      <c r="BI931" s="27"/>
      <c r="BJ931" s="27"/>
      <c r="BK931" s="27"/>
      <c r="BL931" s="27"/>
      <c r="BM931" s="27"/>
    </row>
    <row r="932">
      <c r="I932" s="27"/>
      <c r="J932" s="27"/>
      <c r="K932" s="27"/>
      <c r="L932" s="27"/>
      <c r="M932" s="28"/>
      <c r="N932" s="29"/>
      <c r="O932" s="29"/>
      <c r="P932" s="29"/>
      <c r="Q932" s="27"/>
      <c r="R932" s="27"/>
      <c r="S932" s="27"/>
      <c r="T932" s="27"/>
      <c r="U932" s="27"/>
      <c r="V932" s="27"/>
      <c r="AE932" s="27"/>
      <c r="AF932" s="27"/>
      <c r="AG932" s="27"/>
      <c r="AH932" s="27"/>
      <c r="AI932" s="28"/>
      <c r="AJ932" s="29"/>
      <c r="AK932" s="29"/>
      <c r="AL932" s="27"/>
      <c r="AM932" s="27"/>
      <c r="AN932" s="27"/>
      <c r="AO932" s="27"/>
      <c r="AP932" s="27"/>
      <c r="AY932" s="27"/>
      <c r="AZ932" s="27"/>
      <c r="BA932" s="27"/>
      <c r="BB932" s="27"/>
      <c r="BC932" s="28"/>
      <c r="BD932" s="29"/>
      <c r="BE932" s="29"/>
      <c r="BF932" s="27"/>
      <c r="BG932" s="27"/>
      <c r="BH932" s="27"/>
      <c r="BI932" s="27"/>
      <c r="BJ932" s="27"/>
      <c r="BK932" s="27"/>
      <c r="BL932" s="27"/>
      <c r="BM932" s="27"/>
    </row>
    <row r="933">
      <c r="I933" s="27"/>
      <c r="J933" s="27"/>
      <c r="K933" s="27"/>
      <c r="L933" s="27"/>
      <c r="M933" s="28"/>
      <c r="N933" s="29"/>
      <c r="O933" s="29"/>
      <c r="P933" s="29"/>
      <c r="Q933" s="27"/>
      <c r="R933" s="27"/>
      <c r="S933" s="27"/>
      <c r="T933" s="27"/>
      <c r="U933" s="27"/>
      <c r="V933" s="27"/>
      <c r="AE933" s="27"/>
      <c r="AF933" s="27"/>
      <c r="AG933" s="27"/>
      <c r="AH933" s="27"/>
      <c r="AI933" s="28"/>
      <c r="AJ933" s="29"/>
      <c r="AK933" s="29"/>
      <c r="AL933" s="27"/>
      <c r="AM933" s="27"/>
      <c r="AN933" s="27"/>
      <c r="AO933" s="27"/>
      <c r="AP933" s="27"/>
      <c r="AY933" s="27"/>
      <c r="AZ933" s="27"/>
      <c r="BA933" s="27"/>
      <c r="BB933" s="27"/>
      <c r="BC933" s="28"/>
      <c r="BD933" s="29"/>
      <c r="BE933" s="29"/>
      <c r="BF933" s="27"/>
      <c r="BG933" s="27"/>
      <c r="BH933" s="27"/>
      <c r="BI933" s="27"/>
      <c r="BJ933" s="27"/>
      <c r="BK933" s="27"/>
      <c r="BL933" s="27"/>
      <c r="BM933" s="27"/>
    </row>
    <row r="934">
      <c r="I934" s="27"/>
      <c r="J934" s="27"/>
      <c r="K934" s="27"/>
      <c r="L934" s="27"/>
      <c r="M934" s="28"/>
      <c r="N934" s="29"/>
      <c r="O934" s="29"/>
      <c r="P934" s="29"/>
      <c r="Q934" s="27"/>
      <c r="R934" s="27"/>
      <c r="S934" s="27"/>
      <c r="T934" s="27"/>
      <c r="U934" s="27"/>
      <c r="V934" s="27"/>
      <c r="AE934" s="27"/>
      <c r="AF934" s="27"/>
      <c r="AG934" s="27"/>
      <c r="AH934" s="27"/>
      <c r="AI934" s="28"/>
      <c r="AJ934" s="29"/>
      <c r="AK934" s="29"/>
      <c r="AL934" s="27"/>
      <c r="AM934" s="27"/>
      <c r="AN934" s="27"/>
      <c r="AO934" s="27"/>
      <c r="AP934" s="27"/>
      <c r="AY934" s="27"/>
      <c r="AZ934" s="27"/>
      <c r="BA934" s="27"/>
      <c r="BB934" s="27"/>
      <c r="BC934" s="28"/>
      <c r="BD934" s="29"/>
      <c r="BE934" s="29"/>
      <c r="BF934" s="27"/>
      <c r="BG934" s="27"/>
      <c r="BH934" s="27"/>
      <c r="BI934" s="27"/>
      <c r="BJ934" s="27"/>
      <c r="BK934" s="27"/>
      <c r="BL934" s="27"/>
      <c r="BM934" s="27"/>
    </row>
    <row r="935">
      <c r="I935" s="27"/>
      <c r="J935" s="27"/>
      <c r="K935" s="27"/>
      <c r="L935" s="27"/>
      <c r="M935" s="28"/>
      <c r="N935" s="29"/>
      <c r="O935" s="29"/>
      <c r="P935" s="29"/>
      <c r="Q935" s="27"/>
      <c r="R935" s="27"/>
      <c r="S935" s="27"/>
      <c r="T935" s="27"/>
      <c r="U935" s="27"/>
      <c r="V935" s="27"/>
      <c r="AE935" s="27"/>
      <c r="AF935" s="27"/>
      <c r="AG935" s="27"/>
      <c r="AH935" s="27"/>
      <c r="AI935" s="28"/>
      <c r="AJ935" s="29"/>
      <c r="AK935" s="29"/>
      <c r="AL935" s="27"/>
      <c r="AM935" s="27"/>
      <c r="AN935" s="27"/>
      <c r="AO935" s="27"/>
      <c r="AP935" s="27"/>
      <c r="AY935" s="27"/>
      <c r="AZ935" s="27"/>
      <c r="BA935" s="27"/>
      <c r="BB935" s="27"/>
      <c r="BC935" s="28"/>
      <c r="BD935" s="29"/>
      <c r="BE935" s="29"/>
      <c r="BF935" s="27"/>
      <c r="BG935" s="27"/>
      <c r="BH935" s="27"/>
      <c r="BI935" s="27"/>
      <c r="BJ935" s="27"/>
      <c r="BK935" s="27"/>
      <c r="BL935" s="27"/>
      <c r="BM935" s="27"/>
    </row>
    <row r="936">
      <c r="I936" s="27"/>
      <c r="J936" s="27"/>
      <c r="K936" s="27"/>
      <c r="L936" s="27"/>
      <c r="M936" s="28"/>
      <c r="N936" s="29"/>
      <c r="O936" s="29"/>
      <c r="P936" s="29"/>
      <c r="Q936" s="27"/>
      <c r="R936" s="27"/>
      <c r="S936" s="27"/>
      <c r="T936" s="27"/>
      <c r="U936" s="27"/>
      <c r="V936" s="27"/>
      <c r="AE936" s="27"/>
      <c r="AF936" s="27"/>
      <c r="AG936" s="27"/>
      <c r="AH936" s="27"/>
      <c r="AI936" s="28"/>
      <c r="AJ936" s="29"/>
      <c r="AK936" s="29"/>
      <c r="AL936" s="27"/>
      <c r="AM936" s="27"/>
      <c r="AN936" s="27"/>
      <c r="AO936" s="27"/>
      <c r="AP936" s="27"/>
      <c r="AY936" s="27"/>
      <c r="AZ936" s="27"/>
      <c r="BA936" s="27"/>
      <c r="BB936" s="27"/>
      <c r="BC936" s="28"/>
      <c r="BD936" s="29"/>
      <c r="BE936" s="29"/>
      <c r="BF936" s="27"/>
      <c r="BG936" s="27"/>
      <c r="BH936" s="27"/>
      <c r="BI936" s="27"/>
      <c r="BJ936" s="27"/>
      <c r="BK936" s="27"/>
      <c r="BL936" s="27"/>
      <c r="BM936" s="27"/>
    </row>
    <row r="937">
      <c r="I937" s="27"/>
      <c r="J937" s="27"/>
      <c r="K937" s="27"/>
      <c r="L937" s="27"/>
      <c r="M937" s="28"/>
      <c r="N937" s="29"/>
      <c r="O937" s="29"/>
      <c r="P937" s="29"/>
      <c r="Q937" s="27"/>
      <c r="R937" s="27"/>
      <c r="S937" s="27"/>
      <c r="T937" s="27"/>
      <c r="U937" s="27"/>
      <c r="V937" s="27"/>
      <c r="AE937" s="27"/>
      <c r="AF937" s="27"/>
      <c r="AG937" s="27"/>
      <c r="AH937" s="27"/>
      <c r="AI937" s="28"/>
      <c r="AJ937" s="29"/>
      <c r="AK937" s="29"/>
      <c r="AL937" s="27"/>
      <c r="AM937" s="27"/>
      <c r="AN937" s="27"/>
      <c r="AO937" s="27"/>
      <c r="AP937" s="27"/>
      <c r="AY937" s="27"/>
      <c r="AZ937" s="27"/>
      <c r="BA937" s="27"/>
      <c r="BB937" s="27"/>
      <c r="BC937" s="28"/>
      <c r="BD937" s="29"/>
      <c r="BE937" s="29"/>
      <c r="BF937" s="27"/>
      <c r="BG937" s="27"/>
      <c r="BH937" s="27"/>
      <c r="BI937" s="27"/>
      <c r="BJ937" s="27"/>
      <c r="BK937" s="27"/>
      <c r="BL937" s="27"/>
      <c r="BM937" s="27"/>
    </row>
    <row r="938">
      <c r="I938" s="27"/>
      <c r="J938" s="27"/>
      <c r="K938" s="27"/>
      <c r="L938" s="27"/>
      <c r="M938" s="28"/>
      <c r="N938" s="29"/>
      <c r="O938" s="29"/>
      <c r="P938" s="29"/>
      <c r="Q938" s="27"/>
      <c r="R938" s="27"/>
      <c r="S938" s="27"/>
      <c r="T938" s="27"/>
      <c r="U938" s="27"/>
      <c r="V938" s="27"/>
      <c r="AE938" s="27"/>
      <c r="AF938" s="27"/>
      <c r="AG938" s="27"/>
      <c r="AH938" s="27"/>
      <c r="AI938" s="28"/>
      <c r="AJ938" s="29"/>
      <c r="AK938" s="29"/>
      <c r="AL938" s="27"/>
      <c r="AM938" s="27"/>
      <c r="AN938" s="27"/>
      <c r="AO938" s="27"/>
      <c r="AP938" s="27"/>
      <c r="AY938" s="27"/>
      <c r="AZ938" s="27"/>
      <c r="BA938" s="27"/>
      <c r="BB938" s="27"/>
      <c r="BC938" s="28"/>
      <c r="BD938" s="29"/>
      <c r="BE938" s="29"/>
      <c r="BF938" s="27"/>
      <c r="BG938" s="27"/>
      <c r="BH938" s="27"/>
      <c r="BI938" s="27"/>
      <c r="BJ938" s="27"/>
      <c r="BK938" s="27"/>
      <c r="BL938" s="27"/>
      <c r="BM938" s="27"/>
    </row>
    <row r="939">
      <c r="I939" s="27"/>
      <c r="J939" s="27"/>
      <c r="K939" s="27"/>
      <c r="L939" s="27"/>
      <c r="M939" s="28"/>
      <c r="N939" s="29"/>
      <c r="O939" s="29"/>
      <c r="P939" s="29"/>
      <c r="Q939" s="27"/>
      <c r="R939" s="27"/>
      <c r="S939" s="27"/>
      <c r="T939" s="27"/>
      <c r="U939" s="27"/>
      <c r="V939" s="27"/>
      <c r="AE939" s="27"/>
      <c r="AF939" s="27"/>
      <c r="AG939" s="27"/>
      <c r="AH939" s="27"/>
      <c r="AI939" s="28"/>
      <c r="AJ939" s="29"/>
      <c r="AK939" s="29"/>
      <c r="AL939" s="27"/>
      <c r="AM939" s="27"/>
      <c r="AN939" s="27"/>
      <c r="AO939" s="27"/>
      <c r="AP939" s="27"/>
      <c r="AY939" s="27"/>
      <c r="AZ939" s="27"/>
      <c r="BA939" s="27"/>
      <c r="BB939" s="27"/>
      <c r="BC939" s="28"/>
      <c r="BD939" s="29"/>
      <c r="BE939" s="29"/>
      <c r="BF939" s="27"/>
      <c r="BG939" s="27"/>
      <c r="BH939" s="27"/>
      <c r="BI939" s="27"/>
      <c r="BJ939" s="27"/>
      <c r="BK939" s="27"/>
      <c r="BL939" s="27"/>
      <c r="BM939" s="27"/>
    </row>
    <row r="940">
      <c r="I940" s="27"/>
      <c r="J940" s="27"/>
      <c r="K940" s="27"/>
      <c r="L940" s="27"/>
      <c r="M940" s="28"/>
      <c r="N940" s="29"/>
      <c r="O940" s="29"/>
      <c r="P940" s="29"/>
      <c r="Q940" s="27"/>
      <c r="R940" s="27"/>
      <c r="S940" s="27"/>
      <c r="T940" s="27"/>
      <c r="U940" s="27"/>
      <c r="V940" s="27"/>
      <c r="AE940" s="27"/>
      <c r="AF940" s="27"/>
      <c r="AG940" s="27"/>
      <c r="AH940" s="27"/>
      <c r="AI940" s="28"/>
      <c r="AJ940" s="29"/>
      <c r="AK940" s="29"/>
      <c r="AL940" s="27"/>
      <c r="AM940" s="27"/>
      <c r="AN940" s="27"/>
      <c r="AO940" s="27"/>
      <c r="AP940" s="27"/>
      <c r="AY940" s="27"/>
      <c r="AZ940" s="27"/>
      <c r="BA940" s="27"/>
      <c r="BB940" s="27"/>
      <c r="BC940" s="28"/>
      <c r="BD940" s="29"/>
      <c r="BE940" s="29"/>
      <c r="BF940" s="27"/>
      <c r="BG940" s="27"/>
      <c r="BH940" s="27"/>
      <c r="BI940" s="27"/>
      <c r="BJ940" s="27"/>
      <c r="BK940" s="27"/>
      <c r="BL940" s="27"/>
      <c r="BM940" s="27"/>
    </row>
    <row r="941">
      <c r="I941" s="27"/>
      <c r="J941" s="27"/>
      <c r="K941" s="27"/>
      <c r="L941" s="27"/>
      <c r="M941" s="28"/>
      <c r="N941" s="29"/>
      <c r="O941" s="29"/>
      <c r="P941" s="29"/>
      <c r="Q941" s="27"/>
      <c r="R941" s="27"/>
      <c r="S941" s="27"/>
      <c r="T941" s="27"/>
      <c r="U941" s="27"/>
      <c r="V941" s="27"/>
      <c r="AE941" s="27"/>
      <c r="AF941" s="27"/>
      <c r="AG941" s="27"/>
      <c r="AH941" s="27"/>
      <c r="AI941" s="28"/>
      <c r="AJ941" s="29"/>
      <c r="AK941" s="29"/>
      <c r="AL941" s="27"/>
      <c r="AM941" s="27"/>
      <c r="AN941" s="27"/>
      <c r="AO941" s="27"/>
      <c r="AP941" s="27"/>
      <c r="AY941" s="27"/>
      <c r="AZ941" s="27"/>
      <c r="BA941" s="27"/>
      <c r="BB941" s="27"/>
      <c r="BC941" s="28"/>
      <c r="BD941" s="29"/>
      <c r="BE941" s="29"/>
      <c r="BF941" s="27"/>
      <c r="BG941" s="27"/>
      <c r="BH941" s="27"/>
      <c r="BI941" s="27"/>
      <c r="BJ941" s="27"/>
      <c r="BK941" s="27"/>
      <c r="BL941" s="27"/>
      <c r="BM941" s="27"/>
    </row>
    <row r="942">
      <c r="I942" s="27"/>
      <c r="J942" s="27"/>
      <c r="K942" s="27"/>
      <c r="L942" s="27"/>
      <c r="M942" s="28"/>
      <c r="N942" s="29"/>
      <c r="O942" s="29"/>
      <c r="P942" s="29"/>
      <c r="Q942" s="27"/>
      <c r="R942" s="27"/>
      <c r="S942" s="27"/>
      <c r="T942" s="27"/>
      <c r="U942" s="27"/>
      <c r="V942" s="27"/>
      <c r="AE942" s="27"/>
      <c r="AF942" s="27"/>
      <c r="AG942" s="27"/>
      <c r="AH942" s="27"/>
      <c r="AI942" s="28"/>
      <c r="AJ942" s="29"/>
      <c r="AK942" s="29"/>
      <c r="AL942" s="27"/>
      <c r="AM942" s="27"/>
      <c r="AN942" s="27"/>
      <c r="AO942" s="27"/>
      <c r="AP942" s="27"/>
      <c r="AY942" s="27"/>
      <c r="AZ942" s="27"/>
      <c r="BA942" s="27"/>
      <c r="BB942" s="27"/>
      <c r="BC942" s="28"/>
      <c r="BD942" s="29"/>
      <c r="BE942" s="29"/>
      <c r="BF942" s="27"/>
      <c r="BG942" s="27"/>
      <c r="BH942" s="27"/>
      <c r="BI942" s="27"/>
      <c r="BJ942" s="27"/>
      <c r="BK942" s="27"/>
      <c r="BL942" s="27"/>
      <c r="BM942" s="27"/>
    </row>
    <row r="943">
      <c r="I943" s="27"/>
      <c r="J943" s="27"/>
      <c r="K943" s="27"/>
      <c r="L943" s="27"/>
      <c r="M943" s="28"/>
      <c r="N943" s="29"/>
      <c r="O943" s="29"/>
      <c r="P943" s="29"/>
      <c r="Q943" s="27"/>
      <c r="R943" s="27"/>
      <c r="S943" s="27"/>
      <c r="T943" s="27"/>
      <c r="U943" s="27"/>
      <c r="V943" s="27"/>
      <c r="AE943" s="27"/>
      <c r="AF943" s="27"/>
      <c r="AG943" s="27"/>
      <c r="AH943" s="27"/>
      <c r="AI943" s="28"/>
      <c r="AJ943" s="29"/>
      <c r="AK943" s="29"/>
      <c r="AL943" s="27"/>
      <c r="AM943" s="27"/>
      <c r="AN943" s="27"/>
      <c r="AO943" s="27"/>
      <c r="AP943" s="27"/>
      <c r="AY943" s="27"/>
      <c r="AZ943" s="27"/>
      <c r="BA943" s="27"/>
      <c r="BB943" s="27"/>
      <c r="BC943" s="28"/>
      <c r="BD943" s="29"/>
      <c r="BE943" s="29"/>
      <c r="BF943" s="27"/>
      <c r="BG943" s="27"/>
      <c r="BH943" s="27"/>
      <c r="BI943" s="27"/>
      <c r="BJ943" s="27"/>
      <c r="BK943" s="27"/>
      <c r="BL943" s="27"/>
      <c r="BM943" s="27"/>
    </row>
    <row r="944">
      <c r="I944" s="27"/>
      <c r="J944" s="27"/>
      <c r="K944" s="27"/>
      <c r="L944" s="27"/>
      <c r="M944" s="28"/>
      <c r="N944" s="29"/>
      <c r="O944" s="29"/>
      <c r="P944" s="29"/>
      <c r="Q944" s="27"/>
      <c r="R944" s="27"/>
      <c r="S944" s="27"/>
      <c r="T944" s="27"/>
      <c r="U944" s="27"/>
      <c r="V944" s="27"/>
      <c r="AE944" s="27"/>
      <c r="AF944" s="27"/>
      <c r="AG944" s="27"/>
      <c r="AH944" s="27"/>
      <c r="AI944" s="28"/>
      <c r="AJ944" s="29"/>
      <c r="AK944" s="29"/>
      <c r="AL944" s="27"/>
      <c r="AM944" s="27"/>
      <c r="AN944" s="27"/>
      <c r="AO944" s="27"/>
      <c r="AP944" s="27"/>
      <c r="AY944" s="27"/>
      <c r="AZ944" s="27"/>
      <c r="BA944" s="27"/>
      <c r="BB944" s="27"/>
      <c r="BC944" s="28"/>
      <c r="BD944" s="29"/>
      <c r="BE944" s="29"/>
      <c r="BF944" s="27"/>
      <c r="BG944" s="27"/>
      <c r="BH944" s="27"/>
      <c r="BI944" s="27"/>
      <c r="BJ944" s="27"/>
      <c r="BK944" s="27"/>
      <c r="BL944" s="27"/>
      <c r="BM944" s="27"/>
    </row>
    <row r="945">
      <c r="I945" s="27"/>
      <c r="J945" s="27"/>
      <c r="K945" s="27"/>
      <c r="L945" s="27"/>
      <c r="M945" s="28"/>
      <c r="N945" s="29"/>
      <c r="O945" s="29"/>
      <c r="P945" s="29"/>
      <c r="Q945" s="27"/>
      <c r="R945" s="27"/>
      <c r="S945" s="27"/>
      <c r="T945" s="27"/>
      <c r="U945" s="27"/>
      <c r="V945" s="27"/>
      <c r="AE945" s="27"/>
      <c r="AF945" s="27"/>
      <c r="AG945" s="27"/>
      <c r="AH945" s="27"/>
      <c r="AI945" s="28"/>
      <c r="AJ945" s="29"/>
      <c r="AK945" s="29"/>
      <c r="AL945" s="27"/>
      <c r="AM945" s="27"/>
      <c r="AN945" s="27"/>
      <c r="AO945" s="27"/>
      <c r="AP945" s="27"/>
      <c r="AY945" s="27"/>
      <c r="AZ945" s="27"/>
      <c r="BA945" s="27"/>
      <c r="BB945" s="27"/>
      <c r="BC945" s="28"/>
      <c r="BD945" s="29"/>
      <c r="BE945" s="29"/>
      <c r="BF945" s="27"/>
      <c r="BG945" s="27"/>
      <c r="BH945" s="27"/>
      <c r="BI945" s="27"/>
      <c r="BJ945" s="27"/>
      <c r="BK945" s="27"/>
      <c r="BL945" s="27"/>
      <c r="BM945" s="27"/>
    </row>
    <row r="946">
      <c r="I946" s="27"/>
      <c r="J946" s="27"/>
      <c r="K946" s="27"/>
      <c r="L946" s="27"/>
      <c r="M946" s="28"/>
      <c r="N946" s="29"/>
      <c r="O946" s="29"/>
      <c r="P946" s="29"/>
      <c r="Q946" s="27"/>
      <c r="R946" s="27"/>
      <c r="S946" s="27"/>
      <c r="T946" s="27"/>
      <c r="U946" s="27"/>
      <c r="V946" s="27"/>
      <c r="AE946" s="27"/>
      <c r="AF946" s="27"/>
      <c r="AG946" s="27"/>
      <c r="AH946" s="27"/>
      <c r="AI946" s="28"/>
      <c r="AJ946" s="29"/>
      <c r="AK946" s="29"/>
      <c r="AL946" s="27"/>
      <c r="AM946" s="27"/>
      <c r="AN946" s="27"/>
      <c r="AO946" s="27"/>
      <c r="AP946" s="27"/>
      <c r="AY946" s="27"/>
      <c r="AZ946" s="27"/>
      <c r="BA946" s="27"/>
      <c r="BB946" s="27"/>
      <c r="BC946" s="28"/>
      <c r="BD946" s="29"/>
      <c r="BE946" s="29"/>
      <c r="BF946" s="27"/>
      <c r="BG946" s="27"/>
      <c r="BH946" s="27"/>
      <c r="BI946" s="27"/>
      <c r="BJ946" s="27"/>
      <c r="BK946" s="27"/>
      <c r="BL946" s="27"/>
      <c r="BM946" s="27"/>
    </row>
    <row r="947">
      <c r="I947" s="27"/>
      <c r="J947" s="27"/>
      <c r="K947" s="27"/>
      <c r="L947" s="27"/>
      <c r="M947" s="28"/>
      <c r="N947" s="29"/>
      <c r="O947" s="29"/>
      <c r="P947" s="29"/>
      <c r="Q947" s="27"/>
      <c r="R947" s="27"/>
      <c r="S947" s="27"/>
      <c r="T947" s="27"/>
      <c r="U947" s="27"/>
      <c r="V947" s="27"/>
      <c r="AE947" s="27"/>
      <c r="AF947" s="27"/>
      <c r="AG947" s="27"/>
      <c r="AH947" s="27"/>
      <c r="AI947" s="28"/>
      <c r="AJ947" s="29"/>
      <c r="AK947" s="29"/>
      <c r="AL947" s="27"/>
      <c r="AM947" s="27"/>
      <c r="AN947" s="27"/>
      <c r="AO947" s="27"/>
      <c r="AP947" s="27"/>
      <c r="AY947" s="27"/>
      <c r="AZ947" s="27"/>
      <c r="BA947" s="27"/>
      <c r="BB947" s="27"/>
      <c r="BC947" s="28"/>
      <c r="BD947" s="29"/>
      <c r="BE947" s="29"/>
      <c r="BF947" s="27"/>
      <c r="BG947" s="27"/>
      <c r="BH947" s="27"/>
      <c r="BI947" s="27"/>
      <c r="BJ947" s="27"/>
      <c r="BK947" s="27"/>
      <c r="BL947" s="27"/>
      <c r="BM947" s="27"/>
    </row>
    <row r="948">
      <c r="I948" s="27"/>
      <c r="J948" s="27"/>
      <c r="K948" s="27"/>
      <c r="L948" s="27"/>
      <c r="M948" s="28"/>
      <c r="N948" s="29"/>
      <c r="O948" s="29"/>
      <c r="P948" s="29"/>
      <c r="Q948" s="27"/>
      <c r="R948" s="27"/>
      <c r="S948" s="27"/>
      <c r="T948" s="27"/>
      <c r="U948" s="27"/>
      <c r="V948" s="27"/>
      <c r="AE948" s="27"/>
      <c r="AF948" s="27"/>
      <c r="AG948" s="27"/>
      <c r="AH948" s="27"/>
      <c r="AI948" s="28"/>
      <c r="AJ948" s="29"/>
      <c r="AK948" s="29"/>
      <c r="AL948" s="27"/>
      <c r="AM948" s="27"/>
      <c r="AN948" s="27"/>
      <c r="AO948" s="27"/>
      <c r="AP948" s="27"/>
      <c r="AY948" s="27"/>
      <c r="AZ948" s="27"/>
      <c r="BA948" s="27"/>
      <c r="BB948" s="27"/>
      <c r="BC948" s="28"/>
      <c r="BD948" s="29"/>
      <c r="BE948" s="29"/>
      <c r="BF948" s="27"/>
      <c r="BG948" s="27"/>
      <c r="BH948" s="27"/>
      <c r="BI948" s="27"/>
      <c r="BJ948" s="27"/>
      <c r="BK948" s="27"/>
      <c r="BL948" s="27"/>
      <c r="BM948" s="27"/>
    </row>
    <row r="949">
      <c r="I949" s="27"/>
      <c r="J949" s="27"/>
      <c r="K949" s="27"/>
      <c r="L949" s="27"/>
      <c r="M949" s="28"/>
      <c r="N949" s="29"/>
      <c r="O949" s="29"/>
      <c r="P949" s="29"/>
      <c r="Q949" s="27"/>
      <c r="R949" s="27"/>
      <c r="S949" s="27"/>
      <c r="T949" s="27"/>
      <c r="U949" s="27"/>
      <c r="V949" s="27"/>
      <c r="AE949" s="27"/>
      <c r="AF949" s="27"/>
      <c r="AG949" s="27"/>
      <c r="AH949" s="27"/>
      <c r="AI949" s="28"/>
      <c r="AJ949" s="29"/>
      <c r="AK949" s="29"/>
      <c r="AL949" s="27"/>
      <c r="AM949" s="27"/>
      <c r="AN949" s="27"/>
      <c r="AO949" s="27"/>
      <c r="AP949" s="27"/>
      <c r="AY949" s="27"/>
      <c r="AZ949" s="27"/>
      <c r="BA949" s="27"/>
      <c r="BB949" s="27"/>
      <c r="BC949" s="28"/>
      <c r="BD949" s="29"/>
      <c r="BE949" s="29"/>
      <c r="BF949" s="27"/>
      <c r="BG949" s="27"/>
      <c r="BH949" s="27"/>
      <c r="BI949" s="27"/>
      <c r="BJ949" s="27"/>
      <c r="BK949" s="27"/>
      <c r="BL949" s="27"/>
      <c r="BM949" s="27"/>
    </row>
    <row r="950">
      <c r="I950" s="27"/>
      <c r="J950" s="27"/>
      <c r="K950" s="27"/>
      <c r="L950" s="27"/>
      <c r="M950" s="28"/>
      <c r="N950" s="29"/>
      <c r="O950" s="29"/>
      <c r="P950" s="29"/>
      <c r="Q950" s="27"/>
      <c r="R950" s="27"/>
      <c r="S950" s="27"/>
      <c r="T950" s="27"/>
      <c r="U950" s="27"/>
      <c r="V950" s="27"/>
      <c r="AE950" s="27"/>
      <c r="AF950" s="27"/>
      <c r="AG950" s="27"/>
      <c r="AH950" s="27"/>
      <c r="AI950" s="28"/>
      <c r="AJ950" s="29"/>
      <c r="AK950" s="29"/>
      <c r="AL950" s="27"/>
      <c r="AM950" s="27"/>
      <c r="AN950" s="27"/>
      <c r="AO950" s="27"/>
      <c r="AP950" s="27"/>
      <c r="AY950" s="27"/>
      <c r="AZ950" s="27"/>
      <c r="BA950" s="27"/>
      <c r="BB950" s="27"/>
      <c r="BC950" s="28"/>
      <c r="BD950" s="29"/>
      <c r="BE950" s="29"/>
      <c r="BF950" s="27"/>
      <c r="BG950" s="27"/>
      <c r="BH950" s="27"/>
      <c r="BI950" s="27"/>
      <c r="BJ950" s="27"/>
      <c r="BK950" s="27"/>
      <c r="BL950" s="27"/>
      <c r="BM950" s="27"/>
    </row>
    <row r="951">
      <c r="I951" s="27"/>
      <c r="J951" s="27"/>
      <c r="K951" s="27"/>
      <c r="L951" s="27"/>
      <c r="M951" s="28"/>
      <c r="N951" s="29"/>
      <c r="O951" s="29"/>
      <c r="P951" s="29"/>
      <c r="Q951" s="27"/>
      <c r="R951" s="27"/>
      <c r="S951" s="27"/>
      <c r="T951" s="27"/>
      <c r="U951" s="27"/>
      <c r="V951" s="27"/>
      <c r="AE951" s="27"/>
      <c r="AF951" s="27"/>
      <c r="AG951" s="27"/>
      <c r="AH951" s="27"/>
      <c r="AI951" s="28"/>
      <c r="AJ951" s="29"/>
      <c r="AK951" s="29"/>
      <c r="AL951" s="27"/>
      <c r="AM951" s="27"/>
      <c r="AN951" s="27"/>
      <c r="AO951" s="27"/>
      <c r="AP951" s="27"/>
      <c r="AY951" s="27"/>
      <c r="AZ951" s="27"/>
      <c r="BA951" s="27"/>
      <c r="BB951" s="27"/>
      <c r="BC951" s="28"/>
      <c r="BD951" s="29"/>
      <c r="BE951" s="29"/>
      <c r="BF951" s="27"/>
      <c r="BG951" s="27"/>
      <c r="BH951" s="27"/>
      <c r="BI951" s="27"/>
      <c r="BJ951" s="27"/>
      <c r="BK951" s="27"/>
      <c r="BL951" s="27"/>
      <c r="BM951" s="27"/>
    </row>
    <row r="952">
      <c r="I952" s="27"/>
      <c r="J952" s="27"/>
      <c r="K952" s="27"/>
      <c r="L952" s="27"/>
      <c r="M952" s="28"/>
      <c r="N952" s="29"/>
      <c r="O952" s="29"/>
      <c r="P952" s="29"/>
      <c r="Q952" s="27"/>
      <c r="R952" s="27"/>
      <c r="S952" s="27"/>
      <c r="T952" s="27"/>
      <c r="U952" s="27"/>
      <c r="V952" s="27"/>
      <c r="AE952" s="27"/>
      <c r="AF952" s="27"/>
      <c r="AG952" s="27"/>
      <c r="AH952" s="27"/>
      <c r="AI952" s="28"/>
      <c r="AJ952" s="29"/>
      <c r="AK952" s="29"/>
      <c r="AL952" s="27"/>
      <c r="AM952" s="27"/>
      <c r="AN952" s="27"/>
      <c r="AO952" s="27"/>
      <c r="AP952" s="27"/>
      <c r="AY952" s="27"/>
      <c r="AZ952" s="27"/>
      <c r="BA952" s="27"/>
      <c r="BB952" s="27"/>
      <c r="BC952" s="28"/>
      <c r="BD952" s="29"/>
      <c r="BE952" s="29"/>
      <c r="BF952" s="27"/>
      <c r="BG952" s="27"/>
      <c r="BH952" s="27"/>
      <c r="BI952" s="27"/>
      <c r="BJ952" s="27"/>
      <c r="BK952" s="27"/>
      <c r="BL952" s="27"/>
      <c r="BM952" s="27"/>
    </row>
    <row r="953">
      <c r="I953" s="27"/>
      <c r="J953" s="27"/>
      <c r="K953" s="27"/>
      <c r="L953" s="27"/>
      <c r="M953" s="28"/>
      <c r="N953" s="29"/>
      <c r="O953" s="29"/>
      <c r="P953" s="29"/>
      <c r="Q953" s="27"/>
      <c r="R953" s="27"/>
      <c r="S953" s="27"/>
      <c r="T953" s="27"/>
      <c r="U953" s="27"/>
      <c r="V953" s="27"/>
      <c r="AE953" s="27"/>
      <c r="AF953" s="27"/>
      <c r="AG953" s="27"/>
      <c r="AH953" s="27"/>
      <c r="AI953" s="28"/>
      <c r="AJ953" s="29"/>
      <c r="AK953" s="29"/>
      <c r="AL953" s="27"/>
      <c r="AM953" s="27"/>
      <c r="AN953" s="27"/>
      <c r="AO953" s="27"/>
      <c r="AP953" s="27"/>
      <c r="AY953" s="27"/>
      <c r="AZ953" s="27"/>
      <c r="BA953" s="27"/>
      <c r="BB953" s="27"/>
      <c r="BC953" s="28"/>
      <c r="BD953" s="29"/>
      <c r="BE953" s="29"/>
      <c r="BF953" s="27"/>
      <c r="BG953" s="27"/>
      <c r="BH953" s="27"/>
      <c r="BI953" s="27"/>
      <c r="BJ953" s="27"/>
      <c r="BK953" s="27"/>
      <c r="BL953" s="27"/>
      <c r="BM953" s="27"/>
    </row>
    <row r="954">
      <c r="I954" s="27"/>
      <c r="J954" s="27"/>
      <c r="K954" s="27"/>
      <c r="L954" s="27"/>
      <c r="M954" s="28"/>
      <c r="N954" s="29"/>
      <c r="O954" s="29"/>
      <c r="P954" s="29"/>
      <c r="Q954" s="27"/>
      <c r="R954" s="27"/>
      <c r="S954" s="27"/>
      <c r="T954" s="27"/>
      <c r="U954" s="27"/>
      <c r="V954" s="27"/>
      <c r="AE954" s="27"/>
      <c r="AF954" s="27"/>
      <c r="AG954" s="27"/>
      <c r="AH954" s="27"/>
      <c r="AI954" s="28"/>
      <c r="AJ954" s="29"/>
      <c r="AK954" s="29"/>
      <c r="AL954" s="27"/>
      <c r="AM954" s="27"/>
      <c r="AN954" s="27"/>
      <c r="AO954" s="27"/>
      <c r="AP954" s="27"/>
      <c r="AY954" s="27"/>
      <c r="AZ954" s="27"/>
      <c r="BA954" s="27"/>
      <c r="BB954" s="27"/>
      <c r="BC954" s="28"/>
      <c r="BD954" s="29"/>
      <c r="BE954" s="29"/>
      <c r="BF954" s="27"/>
      <c r="BG954" s="27"/>
      <c r="BH954" s="27"/>
      <c r="BI954" s="27"/>
      <c r="BJ954" s="27"/>
      <c r="BK954" s="27"/>
      <c r="BL954" s="27"/>
      <c r="BM954" s="27"/>
    </row>
    <row r="955">
      <c r="I955" s="27"/>
      <c r="J955" s="27"/>
      <c r="K955" s="27"/>
      <c r="L955" s="27"/>
      <c r="M955" s="28"/>
      <c r="N955" s="29"/>
      <c r="O955" s="29"/>
      <c r="P955" s="29"/>
      <c r="Q955" s="27"/>
      <c r="R955" s="27"/>
      <c r="S955" s="27"/>
      <c r="T955" s="27"/>
      <c r="U955" s="27"/>
      <c r="V955" s="27"/>
      <c r="AE955" s="27"/>
      <c r="AF955" s="27"/>
      <c r="AG955" s="27"/>
      <c r="AH955" s="27"/>
      <c r="AI955" s="28"/>
      <c r="AJ955" s="29"/>
      <c r="AK955" s="29"/>
      <c r="AL955" s="27"/>
      <c r="AM955" s="27"/>
      <c r="AN955" s="27"/>
      <c r="AO955" s="27"/>
      <c r="AP955" s="27"/>
      <c r="AY955" s="27"/>
      <c r="AZ955" s="27"/>
      <c r="BA955" s="27"/>
      <c r="BB955" s="27"/>
      <c r="BC955" s="28"/>
      <c r="BD955" s="29"/>
      <c r="BE955" s="29"/>
      <c r="BF955" s="27"/>
      <c r="BG955" s="27"/>
      <c r="BH955" s="27"/>
      <c r="BI955" s="27"/>
      <c r="BJ955" s="27"/>
      <c r="BK955" s="27"/>
      <c r="BL955" s="27"/>
      <c r="BM955" s="27"/>
    </row>
    <row r="956">
      <c r="I956" s="27"/>
      <c r="J956" s="27"/>
      <c r="K956" s="27"/>
      <c r="L956" s="27"/>
      <c r="M956" s="28"/>
      <c r="N956" s="29"/>
      <c r="O956" s="29"/>
      <c r="P956" s="29"/>
      <c r="Q956" s="27"/>
      <c r="R956" s="27"/>
      <c r="S956" s="27"/>
      <c r="T956" s="27"/>
      <c r="U956" s="27"/>
      <c r="V956" s="27"/>
      <c r="AE956" s="27"/>
      <c r="AF956" s="27"/>
      <c r="AG956" s="27"/>
      <c r="AH956" s="27"/>
      <c r="AI956" s="28"/>
      <c r="AJ956" s="29"/>
      <c r="AK956" s="29"/>
      <c r="AL956" s="27"/>
      <c r="AM956" s="27"/>
      <c r="AN956" s="27"/>
      <c r="AO956" s="27"/>
      <c r="AP956" s="27"/>
      <c r="AY956" s="27"/>
      <c r="AZ956" s="27"/>
      <c r="BA956" s="27"/>
      <c r="BB956" s="27"/>
      <c r="BC956" s="28"/>
      <c r="BD956" s="29"/>
      <c r="BE956" s="29"/>
      <c r="BF956" s="27"/>
      <c r="BG956" s="27"/>
      <c r="BH956" s="27"/>
      <c r="BI956" s="27"/>
      <c r="BJ956" s="27"/>
      <c r="BK956" s="27"/>
      <c r="BL956" s="27"/>
      <c r="BM956" s="27"/>
    </row>
    <row r="957">
      <c r="I957" s="27"/>
      <c r="J957" s="27"/>
      <c r="K957" s="27"/>
      <c r="L957" s="27"/>
      <c r="M957" s="28"/>
      <c r="N957" s="29"/>
      <c r="O957" s="29"/>
      <c r="P957" s="29"/>
      <c r="Q957" s="27"/>
      <c r="R957" s="27"/>
      <c r="S957" s="27"/>
      <c r="T957" s="27"/>
      <c r="U957" s="27"/>
      <c r="V957" s="27"/>
      <c r="AE957" s="27"/>
      <c r="AF957" s="27"/>
      <c r="AG957" s="27"/>
      <c r="AH957" s="27"/>
      <c r="AI957" s="28"/>
      <c r="AJ957" s="29"/>
      <c r="AK957" s="29"/>
      <c r="AL957" s="27"/>
      <c r="AM957" s="27"/>
      <c r="AN957" s="27"/>
      <c r="AO957" s="27"/>
      <c r="AP957" s="27"/>
      <c r="AY957" s="27"/>
      <c r="AZ957" s="27"/>
      <c r="BA957" s="27"/>
      <c r="BB957" s="27"/>
      <c r="BC957" s="28"/>
      <c r="BD957" s="29"/>
      <c r="BE957" s="29"/>
      <c r="BF957" s="27"/>
      <c r="BG957" s="27"/>
      <c r="BH957" s="27"/>
      <c r="BI957" s="27"/>
      <c r="BJ957" s="27"/>
      <c r="BK957" s="27"/>
      <c r="BL957" s="27"/>
      <c r="BM957" s="27"/>
    </row>
    <row r="958">
      <c r="I958" s="27"/>
      <c r="J958" s="27"/>
      <c r="K958" s="27"/>
      <c r="L958" s="27"/>
      <c r="M958" s="28"/>
      <c r="N958" s="29"/>
      <c r="O958" s="29"/>
      <c r="P958" s="29"/>
      <c r="Q958" s="27"/>
      <c r="R958" s="27"/>
      <c r="S958" s="27"/>
      <c r="T958" s="27"/>
      <c r="U958" s="27"/>
      <c r="V958" s="27"/>
      <c r="AE958" s="27"/>
      <c r="AF958" s="27"/>
      <c r="AG958" s="27"/>
      <c r="AH958" s="27"/>
      <c r="AI958" s="28"/>
      <c r="AJ958" s="29"/>
      <c r="AK958" s="29"/>
      <c r="AL958" s="27"/>
      <c r="AM958" s="27"/>
      <c r="AN958" s="27"/>
      <c r="AO958" s="27"/>
      <c r="AP958" s="27"/>
      <c r="AY958" s="27"/>
      <c r="AZ958" s="27"/>
      <c r="BA958" s="27"/>
      <c r="BB958" s="27"/>
      <c r="BC958" s="28"/>
      <c r="BD958" s="29"/>
      <c r="BE958" s="29"/>
      <c r="BF958" s="27"/>
      <c r="BG958" s="27"/>
      <c r="BH958" s="27"/>
      <c r="BI958" s="27"/>
      <c r="BJ958" s="27"/>
      <c r="BK958" s="27"/>
      <c r="BL958" s="27"/>
      <c r="BM958" s="27"/>
    </row>
    <row r="959">
      <c r="I959" s="27"/>
      <c r="J959" s="27"/>
      <c r="K959" s="27"/>
      <c r="L959" s="27"/>
      <c r="M959" s="28"/>
      <c r="N959" s="29"/>
      <c r="O959" s="29"/>
      <c r="P959" s="29"/>
      <c r="Q959" s="27"/>
      <c r="R959" s="27"/>
      <c r="S959" s="27"/>
      <c r="T959" s="27"/>
      <c r="U959" s="27"/>
      <c r="V959" s="27"/>
      <c r="AE959" s="27"/>
      <c r="AF959" s="27"/>
      <c r="AG959" s="27"/>
      <c r="AH959" s="27"/>
      <c r="AI959" s="28"/>
      <c r="AJ959" s="29"/>
      <c r="AK959" s="29"/>
      <c r="AL959" s="27"/>
      <c r="AM959" s="27"/>
      <c r="AN959" s="27"/>
      <c r="AO959" s="27"/>
      <c r="AP959" s="27"/>
      <c r="AY959" s="27"/>
      <c r="AZ959" s="27"/>
      <c r="BA959" s="27"/>
      <c r="BB959" s="27"/>
      <c r="BC959" s="28"/>
      <c r="BD959" s="29"/>
      <c r="BE959" s="29"/>
      <c r="BF959" s="27"/>
      <c r="BG959" s="27"/>
      <c r="BH959" s="27"/>
      <c r="BI959" s="27"/>
      <c r="BJ959" s="27"/>
      <c r="BK959" s="27"/>
      <c r="BL959" s="27"/>
      <c r="BM959" s="27"/>
    </row>
    <row r="960">
      <c r="I960" s="27"/>
      <c r="J960" s="27"/>
      <c r="K960" s="27"/>
      <c r="L960" s="27"/>
      <c r="M960" s="28"/>
      <c r="N960" s="29"/>
      <c r="O960" s="29"/>
      <c r="P960" s="29"/>
      <c r="Q960" s="27"/>
      <c r="R960" s="27"/>
      <c r="S960" s="27"/>
      <c r="T960" s="27"/>
      <c r="U960" s="27"/>
      <c r="V960" s="27"/>
      <c r="AE960" s="27"/>
      <c r="AF960" s="27"/>
      <c r="AG960" s="27"/>
      <c r="AH960" s="27"/>
      <c r="AI960" s="28"/>
      <c r="AJ960" s="29"/>
      <c r="AK960" s="29"/>
      <c r="AL960" s="27"/>
      <c r="AM960" s="27"/>
      <c r="AN960" s="27"/>
      <c r="AO960" s="27"/>
      <c r="AP960" s="27"/>
      <c r="AY960" s="27"/>
      <c r="AZ960" s="27"/>
      <c r="BA960" s="27"/>
      <c r="BB960" s="27"/>
      <c r="BC960" s="28"/>
      <c r="BD960" s="29"/>
      <c r="BE960" s="29"/>
      <c r="BF960" s="27"/>
      <c r="BG960" s="27"/>
      <c r="BH960" s="27"/>
      <c r="BI960" s="27"/>
      <c r="BJ960" s="27"/>
      <c r="BK960" s="27"/>
      <c r="BL960" s="27"/>
      <c r="BM960" s="27"/>
    </row>
    <row r="961">
      <c r="I961" s="27"/>
      <c r="J961" s="27"/>
      <c r="K961" s="27"/>
      <c r="L961" s="27"/>
      <c r="M961" s="28"/>
      <c r="N961" s="29"/>
      <c r="O961" s="29"/>
      <c r="P961" s="29"/>
      <c r="Q961" s="27"/>
      <c r="R961" s="27"/>
      <c r="S961" s="27"/>
      <c r="T961" s="27"/>
      <c r="U961" s="27"/>
      <c r="V961" s="27"/>
      <c r="AE961" s="27"/>
      <c r="AF961" s="27"/>
      <c r="AG961" s="27"/>
      <c r="AH961" s="27"/>
      <c r="AI961" s="28"/>
      <c r="AJ961" s="29"/>
      <c r="AK961" s="29"/>
      <c r="AL961" s="27"/>
      <c r="AM961" s="27"/>
      <c r="AN961" s="27"/>
      <c r="AO961" s="27"/>
      <c r="AP961" s="27"/>
      <c r="AY961" s="27"/>
      <c r="AZ961" s="27"/>
      <c r="BA961" s="27"/>
      <c r="BB961" s="27"/>
      <c r="BC961" s="28"/>
      <c r="BD961" s="29"/>
      <c r="BE961" s="29"/>
      <c r="BF961" s="27"/>
      <c r="BG961" s="27"/>
      <c r="BH961" s="27"/>
      <c r="BI961" s="27"/>
      <c r="BJ961" s="27"/>
      <c r="BK961" s="27"/>
      <c r="BL961" s="27"/>
      <c r="BM961" s="27"/>
    </row>
    <row r="962">
      <c r="I962" s="27"/>
      <c r="J962" s="27"/>
      <c r="K962" s="27"/>
      <c r="L962" s="27"/>
      <c r="M962" s="28"/>
      <c r="N962" s="29"/>
      <c r="O962" s="29"/>
      <c r="P962" s="29"/>
      <c r="Q962" s="27"/>
      <c r="R962" s="27"/>
      <c r="S962" s="27"/>
      <c r="T962" s="27"/>
      <c r="U962" s="27"/>
      <c r="V962" s="27"/>
      <c r="AE962" s="27"/>
      <c r="AF962" s="27"/>
      <c r="AG962" s="27"/>
      <c r="AH962" s="27"/>
      <c r="AI962" s="28"/>
      <c r="AJ962" s="29"/>
      <c r="AK962" s="29"/>
      <c r="AL962" s="27"/>
      <c r="AM962" s="27"/>
      <c r="AN962" s="27"/>
      <c r="AO962" s="27"/>
      <c r="AP962" s="27"/>
      <c r="AY962" s="27"/>
      <c r="AZ962" s="27"/>
      <c r="BA962" s="27"/>
      <c r="BB962" s="27"/>
      <c r="BC962" s="28"/>
      <c r="BD962" s="29"/>
      <c r="BE962" s="29"/>
      <c r="BF962" s="27"/>
      <c r="BG962" s="27"/>
      <c r="BH962" s="27"/>
      <c r="BI962" s="27"/>
      <c r="BJ962" s="27"/>
      <c r="BK962" s="27"/>
      <c r="BL962" s="27"/>
      <c r="BM962" s="27"/>
    </row>
    <row r="963">
      <c r="I963" s="27"/>
      <c r="J963" s="27"/>
      <c r="K963" s="27"/>
      <c r="L963" s="27"/>
      <c r="M963" s="28"/>
      <c r="N963" s="29"/>
      <c r="O963" s="29"/>
      <c r="P963" s="29"/>
      <c r="Q963" s="27"/>
      <c r="R963" s="27"/>
      <c r="S963" s="27"/>
      <c r="T963" s="27"/>
      <c r="U963" s="27"/>
      <c r="V963" s="27"/>
      <c r="AE963" s="27"/>
      <c r="AF963" s="27"/>
      <c r="AG963" s="27"/>
      <c r="AH963" s="27"/>
      <c r="AI963" s="28"/>
      <c r="AJ963" s="29"/>
      <c r="AK963" s="29"/>
      <c r="AL963" s="27"/>
      <c r="AM963" s="27"/>
      <c r="AN963" s="27"/>
      <c r="AO963" s="27"/>
      <c r="AP963" s="27"/>
      <c r="AY963" s="27"/>
      <c r="AZ963" s="27"/>
      <c r="BA963" s="27"/>
      <c r="BB963" s="27"/>
      <c r="BC963" s="28"/>
      <c r="BD963" s="29"/>
      <c r="BE963" s="29"/>
      <c r="BF963" s="27"/>
      <c r="BG963" s="27"/>
      <c r="BH963" s="27"/>
      <c r="BI963" s="27"/>
      <c r="BJ963" s="27"/>
      <c r="BK963" s="27"/>
      <c r="BL963" s="27"/>
      <c r="BM963" s="27"/>
    </row>
    <row r="964">
      <c r="I964" s="27"/>
      <c r="J964" s="27"/>
      <c r="K964" s="27"/>
      <c r="L964" s="27"/>
      <c r="M964" s="28"/>
      <c r="N964" s="29"/>
      <c r="O964" s="29"/>
      <c r="P964" s="29"/>
      <c r="Q964" s="27"/>
      <c r="R964" s="27"/>
      <c r="S964" s="27"/>
      <c r="T964" s="27"/>
      <c r="U964" s="27"/>
      <c r="V964" s="27"/>
      <c r="AE964" s="27"/>
      <c r="AF964" s="27"/>
      <c r="AG964" s="27"/>
      <c r="AH964" s="27"/>
      <c r="AI964" s="28"/>
      <c r="AJ964" s="29"/>
      <c r="AK964" s="29"/>
      <c r="AL964" s="27"/>
      <c r="AM964" s="27"/>
      <c r="AN964" s="27"/>
      <c r="AO964" s="27"/>
      <c r="AP964" s="27"/>
      <c r="AY964" s="27"/>
      <c r="AZ964" s="27"/>
      <c r="BA964" s="27"/>
      <c r="BB964" s="27"/>
      <c r="BC964" s="28"/>
      <c r="BD964" s="29"/>
      <c r="BE964" s="29"/>
      <c r="BF964" s="27"/>
      <c r="BG964" s="27"/>
      <c r="BH964" s="27"/>
      <c r="BI964" s="27"/>
      <c r="BJ964" s="27"/>
      <c r="BK964" s="27"/>
      <c r="BL964" s="27"/>
      <c r="BM964" s="27"/>
    </row>
    <row r="965">
      <c r="I965" s="27"/>
      <c r="J965" s="27"/>
      <c r="K965" s="27"/>
      <c r="L965" s="27"/>
      <c r="M965" s="28"/>
      <c r="N965" s="29"/>
      <c r="O965" s="29"/>
      <c r="P965" s="29"/>
      <c r="Q965" s="27"/>
      <c r="R965" s="27"/>
      <c r="S965" s="27"/>
      <c r="T965" s="27"/>
      <c r="U965" s="27"/>
      <c r="V965" s="27"/>
      <c r="AE965" s="27"/>
      <c r="AF965" s="27"/>
      <c r="AG965" s="27"/>
      <c r="AH965" s="27"/>
      <c r="AI965" s="28"/>
      <c r="AJ965" s="29"/>
      <c r="AK965" s="29"/>
      <c r="AL965" s="27"/>
      <c r="AM965" s="27"/>
      <c r="AN965" s="27"/>
      <c r="AO965" s="27"/>
      <c r="AP965" s="27"/>
      <c r="AY965" s="27"/>
      <c r="AZ965" s="27"/>
      <c r="BA965" s="27"/>
      <c r="BB965" s="27"/>
      <c r="BC965" s="28"/>
      <c r="BD965" s="29"/>
      <c r="BE965" s="29"/>
      <c r="BF965" s="27"/>
      <c r="BG965" s="27"/>
      <c r="BH965" s="27"/>
      <c r="BI965" s="27"/>
      <c r="BJ965" s="27"/>
      <c r="BK965" s="27"/>
      <c r="BL965" s="27"/>
      <c r="BM965" s="27"/>
    </row>
    <row r="966">
      <c r="I966" s="27"/>
      <c r="J966" s="27"/>
      <c r="K966" s="27"/>
      <c r="L966" s="27"/>
      <c r="M966" s="28"/>
      <c r="N966" s="29"/>
      <c r="O966" s="29"/>
      <c r="P966" s="29"/>
      <c r="Q966" s="27"/>
      <c r="R966" s="27"/>
      <c r="S966" s="27"/>
      <c r="T966" s="27"/>
      <c r="U966" s="27"/>
      <c r="V966" s="27"/>
      <c r="AE966" s="27"/>
      <c r="AF966" s="27"/>
      <c r="AG966" s="27"/>
      <c r="AH966" s="27"/>
      <c r="AI966" s="28"/>
      <c r="AJ966" s="29"/>
      <c r="AK966" s="29"/>
      <c r="AL966" s="27"/>
      <c r="AM966" s="27"/>
      <c r="AN966" s="27"/>
      <c r="AO966" s="27"/>
      <c r="AP966" s="27"/>
      <c r="AY966" s="27"/>
      <c r="AZ966" s="27"/>
      <c r="BA966" s="27"/>
      <c r="BB966" s="27"/>
      <c r="BC966" s="28"/>
      <c r="BD966" s="29"/>
      <c r="BE966" s="29"/>
      <c r="BF966" s="27"/>
      <c r="BG966" s="27"/>
      <c r="BH966" s="27"/>
      <c r="BI966" s="27"/>
      <c r="BJ966" s="27"/>
      <c r="BK966" s="27"/>
      <c r="BL966" s="27"/>
      <c r="BM966" s="27"/>
    </row>
    <row r="967">
      <c r="I967" s="27"/>
      <c r="J967" s="27"/>
      <c r="K967" s="27"/>
      <c r="L967" s="27"/>
      <c r="M967" s="28"/>
      <c r="N967" s="29"/>
      <c r="O967" s="29"/>
      <c r="P967" s="29"/>
      <c r="Q967" s="27"/>
      <c r="R967" s="27"/>
      <c r="S967" s="27"/>
      <c r="T967" s="27"/>
      <c r="U967" s="27"/>
      <c r="V967" s="27"/>
      <c r="AE967" s="27"/>
      <c r="AF967" s="27"/>
      <c r="AG967" s="27"/>
      <c r="AH967" s="27"/>
      <c r="AI967" s="28"/>
      <c r="AJ967" s="29"/>
      <c r="AK967" s="29"/>
      <c r="AL967" s="27"/>
      <c r="AM967" s="27"/>
      <c r="AN967" s="27"/>
      <c r="AO967" s="27"/>
      <c r="AP967" s="27"/>
      <c r="AY967" s="27"/>
      <c r="AZ967" s="27"/>
      <c r="BA967" s="27"/>
      <c r="BB967" s="27"/>
      <c r="BC967" s="28"/>
      <c r="BD967" s="29"/>
      <c r="BE967" s="29"/>
      <c r="BF967" s="27"/>
      <c r="BG967" s="27"/>
      <c r="BH967" s="27"/>
      <c r="BI967" s="27"/>
      <c r="BJ967" s="27"/>
      <c r="BK967" s="27"/>
      <c r="BL967" s="27"/>
      <c r="BM967" s="27"/>
    </row>
    <row r="968">
      <c r="I968" s="27"/>
      <c r="J968" s="27"/>
      <c r="K968" s="27"/>
      <c r="L968" s="27"/>
      <c r="M968" s="28"/>
      <c r="N968" s="29"/>
      <c r="O968" s="29"/>
      <c r="P968" s="29"/>
      <c r="Q968" s="27"/>
      <c r="R968" s="27"/>
      <c r="S968" s="27"/>
      <c r="T968" s="27"/>
      <c r="U968" s="27"/>
      <c r="V968" s="27"/>
      <c r="AE968" s="27"/>
      <c r="AF968" s="27"/>
      <c r="AG968" s="27"/>
      <c r="AH968" s="27"/>
      <c r="AI968" s="28"/>
      <c r="AJ968" s="29"/>
      <c r="AK968" s="29"/>
      <c r="AL968" s="27"/>
      <c r="AM968" s="27"/>
      <c r="AN968" s="27"/>
      <c r="AO968" s="27"/>
      <c r="AP968" s="27"/>
      <c r="AY968" s="27"/>
      <c r="AZ968" s="27"/>
      <c r="BA968" s="27"/>
      <c r="BB968" s="27"/>
      <c r="BC968" s="28"/>
      <c r="BD968" s="29"/>
      <c r="BE968" s="29"/>
      <c r="BF968" s="27"/>
      <c r="BG968" s="27"/>
      <c r="BH968" s="27"/>
      <c r="BI968" s="27"/>
      <c r="BJ968" s="27"/>
      <c r="BK968" s="27"/>
      <c r="BL968" s="27"/>
      <c r="BM968" s="27"/>
    </row>
    <row r="969">
      <c r="I969" s="27"/>
      <c r="J969" s="27"/>
      <c r="K969" s="27"/>
      <c r="L969" s="27"/>
      <c r="M969" s="28"/>
      <c r="N969" s="29"/>
      <c r="O969" s="29"/>
      <c r="P969" s="29"/>
      <c r="Q969" s="27"/>
      <c r="R969" s="27"/>
      <c r="S969" s="27"/>
      <c r="T969" s="27"/>
      <c r="U969" s="27"/>
      <c r="V969" s="27"/>
      <c r="AE969" s="27"/>
      <c r="AF969" s="27"/>
      <c r="AG969" s="27"/>
      <c r="AH969" s="27"/>
      <c r="AI969" s="28"/>
      <c r="AJ969" s="29"/>
      <c r="AK969" s="29"/>
      <c r="AL969" s="27"/>
      <c r="AM969" s="27"/>
      <c r="AN969" s="27"/>
      <c r="AO969" s="27"/>
      <c r="AP969" s="27"/>
      <c r="AY969" s="27"/>
      <c r="AZ969" s="27"/>
      <c r="BA969" s="27"/>
      <c r="BB969" s="27"/>
      <c r="BC969" s="28"/>
      <c r="BD969" s="29"/>
      <c r="BE969" s="29"/>
      <c r="BF969" s="27"/>
      <c r="BG969" s="27"/>
      <c r="BH969" s="27"/>
      <c r="BI969" s="27"/>
      <c r="BJ969" s="27"/>
      <c r="BK969" s="27"/>
      <c r="BL969" s="27"/>
      <c r="BM969" s="27"/>
    </row>
    <row r="970">
      <c r="I970" s="27"/>
      <c r="J970" s="27"/>
      <c r="K970" s="27"/>
      <c r="L970" s="27"/>
      <c r="M970" s="28"/>
      <c r="N970" s="29"/>
      <c r="O970" s="29"/>
      <c r="P970" s="29"/>
      <c r="Q970" s="27"/>
      <c r="R970" s="27"/>
      <c r="S970" s="27"/>
      <c r="T970" s="27"/>
      <c r="U970" s="27"/>
      <c r="V970" s="27"/>
      <c r="AE970" s="27"/>
      <c r="AF970" s="27"/>
      <c r="AG970" s="27"/>
      <c r="AH970" s="27"/>
      <c r="AI970" s="28"/>
      <c r="AJ970" s="29"/>
      <c r="AK970" s="29"/>
      <c r="AL970" s="27"/>
      <c r="AM970" s="27"/>
      <c r="AN970" s="27"/>
      <c r="AO970" s="27"/>
      <c r="AP970" s="27"/>
      <c r="AY970" s="27"/>
      <c r="AZ970" s="27"/>
      <c r="BA970" s="27"/>
      <c r="BB970" s="27"/>
      <c r="BC970" s="28"/>
      <c r="BD970" s="29"/>
      <c r="BE970" s="29"/>
      <c r="BF970" s="27"/>
      <c r="BG970" s="27"/>
      <c r="BH970" s="27"/>
      <c r="BI970" s="27"/>
      <c r="BJ970" s="27"/>
      <c r="BK970" s="27"/>
      <c r="BL970" s="27"/>
      <c r="BM970" s="27"/>
    </row>
    <row r="971">
      <c r="I971" s="27"/>
      <c r="J971" s="27"/>
      <c r="K971" s="27"/>
      <c r="L971" s="27"/>
      <c r="M971" s="28"/>
      <c r="N971" s="29"/>
      <c r="O971" s="29"/>
      <c r="P971" s="29"/>
      <c r="Q971" s="27"/>
      <c r="R971" s="27"/>
      <c r="S971" s="27"/>
      <c r="T971" s="27"/>
      <c r="U971" s="27"/>
      <c r="V971" s="27"/>
      <c r="AE971" s="27"/>
      <c r="AF971" s="27"/>
      <c r="AG971" s="27"/>
      <c r="AH971" s="27"/>
      <c r="AI971" s="28"/>
      <c r="AJ971" s="29"/>
      <c r="AK971" s="29"/>
      <c r="AL971" s="27"/>
      <c r="AM971" s="27"/>
      <c r="AN971" s="27"/>
      <c r="AO971" s="27"/>
      <c r="AP971" s="27"/>
      <c r="AY971" s="27"/>
      <c r="AZ971" s="27"/>
      <c r="BA971" s="27"/>
      <c r="BB971" s="27"/>
      <c r="BC971" s="28"/>
      <c r="BD971" s="29"/>
      <c r="BE971" s="29"/>
      <c r="BF971" s="27"/>
      <c r="BG971" s="27"/>
      <c r="BH971" s="27"/>
      <c r="BI971" s="27"/>
      <c r="BJ971" s="27"/>
      <c r="BK971" s="27"/>
      <c r="BL971" s="27"/>
      <c r="BM971" s="27"/>
    </row>
    <row r="972">
      <c r="I972" s="27"/>
      <c r="J972" s="27"/>
      <c r="K972" s="27"/>
      <c r="L972" s="27"/>
      <c r="M972" s="28"/>
      <c r="N972" s="29"/>
      <c r="O972" s="29"/>
      <c r="P972" s="29"/>
      <c r="Q972" s="27"/>
      <c r="R972" s="27"/>
      <c r="S972" s="27"/>
      <c r="T972" s="27"/>
      <c r="U972" s="27"/>
      <c r="V972" s="27"/>
      <c r="AE972" s="27"/>
      <c r="AF972" s="27"/>
      <c r="AG972" s="27"/>
      <c r="AH972" s="27"/>
      <c r="AI972" s="28"/>
      <c r="AJ972" s="29"/>
      <c r="AK972" s="29"/>
      <c r="AL972" s="27"/>
      <c r="AM972" s="27"/>
      <c r="AN972" s="27"/>
      <c r="AO972" s="27"/>
      <c r="AP972" s="27"/>
      <c r="AY972" s="27"/>
      <c r="AZ972" s="27"/>
      <c r="BA972" s="27"/>
      <c r="BB972" s="27"/>
      <c r="BC972" s="28"/>
      <c r="BD972" s="29"/>
      <c r="BE972" s="29"/>
      <c r="BF972" s="27"/>
      <c r="BG972" s="27"/>
      <c r="BH972" s="27"/>
      <c r="BI972" s="27"/>
      <c r="BJ972" s="27"/>
      <c r="BK972" s="27"/>
      <c r="BL972" s="27"/>
      <c r="BM972" s="27"/>
    </row>
    <row r="973">
      <c r="I973" s="27"/>
      <c r="J973" s="27"/>
      <c r="K973" s="27"/>
      <c r="L973" s="27"/>
      <c r="M973" s="28"/>
      <c r="N973" s="29"/>
      <c r="O973" s="29"/>
      <c r="P973" s="29"/>
      <c r="Q973" s="27"/>
      <c r="R973" s="27"/>
      <c r="S973" s="27"/>
      <c r="T973" s="27"/>
      <c r="U973" s="27"/>
      <c r="V973" s="27"/>
      <c r="AE973" s="27"/>
      <c r="AF973" s="27"/>
      <c r="AG973" s="27"/>
      <c r="AH973" s="27"/>
      <c r="AI973" s="28"/>
      <c r="AJ973" s="29"/>
      <c r="AK973" s="29"/>
      <c r="AL973" s="27"/>
      <c r="AM973" s="27"/>
      <c r="AN973" s="27"/>
      <c r="AO973" s="27"/>
      <c r="AP973" s="27"/>
      <c r="AY973" s="27"/>
      <c r="AZ973" s="27"/>
      <c r="BA973" s="27"/>
      <c r="BB973" s="27"/>
      <c r="BC973" s="28"/>
      <c r="BD973" s="29"/>
      <c r="BE973" s="29"/>
      <c r="BF973" s="27"/>
      <c r="BG973" s="27"/>
      <c r="BH973" s="27"/>
      <c r="BI973" s="27"/>
      <c r="BJ973" s="27"/>
      <c r="BK973" s="27"/>
      <c r="BL973" s="27"/>
      <c r="BM973" s="27"/>
    </row>
    <row r="974">
      <c r="I974" s="27"/>
      <c r="J974" s="27"/>
      <c r="K974" s="27"/>
      <c r="L974" s="27"/>
      <c r="M974" s="28"/>
      <c r="N974" s="29"/>
      <c r="O974" s="29"/>
      <c r="P974" s="29"/>
      <c r="Q974" s="27"/>
      <c r="R974" s="27"/>
      <c r="S974" s="27"/>
      <c r="T974" s="27"/>
      <c r="U974" s="27"/>
      <c r="V974" s="27"/>
      <c r="AE974" s="27"/>
      <c r="AF974" s="27"/>
      <c r="AG974" s="27"/>
      <c r="AH974" s="27"/>
      <c r="AI974" s="28"/>
      <c r="AJ974" s="29"/>
      <c r="AK974" s="29"/>
      <c r="AL974" s="27"/>
      <c r="AM974" s="27"/>
      <c r="AN974" s="27"/>
      <c r="AO974" s="27"/>
      <c r="AP974" s="27"/>
      <c r="AY974" s="27"/>
      <c r="AZ974" s="27"/>
      <c r="BA974" s="27"/>
      <c r="BB974" s="27"/>
      <c r="BC974" s="28"/>
      <c r="BD974" s="29"/>
      <c r="BE974" s="29"/>
      <c r="BF974" s="27"/>
      <c r="BG974" s="27"/>
      <c r="BH974" s="27"/>
      <c r="BI974" s="27"/>
      <c r="BJ974" s="27"/>
      <c r="BK974" s="27"/>
      <c r="BL974" s="27"/>
      <c r="BM974" s="27"/>
    </row>
    <row r="975">
      <c r="I975" s="27"/>
      <c r="J975" s="27"/>
      <c r="K975" s="27"/>
      <c r="L975" s="27"/>
      <c r="M975" s="28"/>
      <c r="N975" s="29"/>
      <c r="O975" s="29"/>
      <c r="P975" s="29"/>
      <c r="Q975" s="27"/>
      <c r="R975" s="27"/>
      <c r="S975" s="27"/>
      <c r="T975" s="27"/>
      <c r="U975" s="27"/>
      <c r="V975" s="27"/>
      <c r="AE975" s="27"/>
      <c r="AF975" s="27"/>
      <c r="AG975" s="27"/>
      <c r="AH975" s="27"/>
      <c r="AI975" s="28"/>
      <c r="AJ975" s="29"/>
      <c r="AK975" s="29"/>
      <c r="AL975" s="27"/>
      <c r="AM975" s="27"/>
      <c r="AN975" s="27"/>
      <c r="AO975" s="27"/>
      <c r="AP975" s="27"/>
      <c r="AY975" s="27"/>
      <c r="AZ975" s="27"/>
      <c r="BA975" s="27"/>
      <c r="BB975" s="27"/>
      <c r="BC975" s="28"/>
      <c r="BD975" s="29"/>
      <c r="BE975" s="29"/>
      <c r="BF975" s="27"/>
      <c r="BG975" s="27"/>
      <c r="BH975" s="27"/>
      <c r="BI975" s="27"/>
      <c r="BJ975" s="27"/>
      <c r="BK975" s="27"/>
      <c r="BL975" s="27"/>
      <c r="BM975" s="27"/>
    </row>
    <row r="976">
      <c r="I976" s="27"/>
      <c r="J976" s="27"/>
      <c r="K976" s="27"/>
      <c r="L976" s="27"/>
      <c r="M976" s="28"/>
      <c r="N976" s="29"/>
      <c r="O976" s="29"/>
      <c r="P976" s="29"/>
      <c r="Q976" s="27"/>
      <c r="R976" s="27"/>
      <c r="S976" s="27"/>
      <c r="T976" s="27"/>
      <c r="U976" s="27"/>
      <c r="V976" s="27"/>
      <c r="AE976" s="27"/>
      <c r="AF976" s="27"/>
      <c r="AG976" s="27"/>
      <c r="AH976" s="27"/>
      <c r="AI976" s="28"/>
      <c r="AJ976" s="29"/>
      <c r="AK976" s="29"/>
      <c r="AL976" s="27"/>
      <c r="AM976" s="27"/>
      <c r="AN976" s="27"/>
      <c r="AO976" s="27"/>
      <c r="AP976" s="27"/>
      <c r="AY976" s="27"/>
      <c r="AZ976" s="27"/>
      <c r="BA976" s="27"/>
      <c r="BB976" s="27"/>
      <c r="BC976" s="28"/>
      <c r="BD976" s="29"/>
      <c r="BE976" s="29"/>
      <c r="BF976" s="27"/>
      <c r="BG976" s="27"/>
      <c r="BH976" s="27"/>
      <c r="BI976" s="27"/>
      <c r="BJ976" s="27"/>
      <c r="BK976" s="27"/>
      <c r="BL976" s="27"/>
      <c r="BM976" s="27"/>
    </row>
    <row r="977">
      <c r="I977" s="27"/>
      <c r="J977" s="27"/>
      <c r="K977" s="27"/>
      <c r="L977" s="27"/>
      <c r="M977" s="28"/>
      <c r="N977" s="29"/>
      <c r="O977" s="29"/>
      <c r="P977" s="29"/>
      <c r="Q977" s="27"/>
      <c r="R977" s="27"/>
      <c r="S977" s="27"/>
      <c r="T977" s="27"/>
      <c r="U977" s="27"/>
      <c r="V977" s="27"/>
      <c r="AE977" s="27"/>
      <c r="AF977" s="27"/>
      <c r="AG977" s="27"/>
      <c r="AH977" s="27"/>
      <c r="AI977" s="28"/>
      <c r="AJ977" s="29"/>
      <c r="AK977" s="29"/>
      <c r="AL977" s="27"/>
      <c r="AM977" s="27"/>
      <c r="AN977" s="27"/>
      <c r="AO977" s="27"/>
      <c r="AP977" s="27"/>
      <c r="AY977" s="27"/>
      <c r="AZ977" s="27"/>
      <c r="BA977" s="27"/>
      <c r="BB977" s="27"/>
      <c r="BC977" s="28"/>
      <c r="BD977" s="29"/>
      <c r="BE977" s="29"/>
      <c r="BF977" s="27"/>
      <c r="BG977" s="27"/>
      <c r="BH977" s="27"/>
      <c r="BI977" s="27"/>
      <c r="BJ977" s="27"/>
      <c r="BK977" s="27"/>
      <c r="BL977" s="27"/>
      <c r="BM977" s="27"/>
    </row>
    <row r="978">
      <c r="I978" s="27"/>
      <c r="J978" s="27"/>
      <c r="K978" s="27"/>
      <c r="L978" s="27"/>
      <c r="M978" s="28"/>
      <c r="N978" s="29"/>
      <c r="O978" s="29"/>
      <c r="P978" s="29"/>
      <c r="Q978" s="27"/>
      <c r="R978" s="27"/>
      <c r="S978" s="27"/>
      <c r="T978" s="27"/>
      <c r="U978" s="27"/>
      <c r="V978" s="27"/>
      <c r="AE978" s="27"/>
      <c r="AF978" s="27"/>
      <c r="AG978" s="27"/>
      <c r="AH978" s="27"/>
      <c r="AI978" s="28"/>
      <c r="AJ978" s="29"/>
      <c r="AK978" s="29"/>
      <c r="AL978" s="27"/>
      <c r="AM978" s="27"/>
      <c r="AN978" s="27"/>
      <c r="AO978" s="27"/>
      <c r="AP978" s="27"/>
      <c r="AY978" s="27"/>
      <c r="AZ978" s="27"/>
      <c r="BA978" s="27"/>
      <c r="BB978" s="27"/>
      <c r="BC978" s="28"/>
      <c r="BD978" s="29"/>
      <c r="BE978" s="29"/>
      <c r="BF978" s="27"/>
      <c r="BG978" s="27"/>
      <c r="BH978" s="27"/>
      <c r="BI978" s="27"/>
      <c r="BJ978" s="27"/>
      <c r="BK978" s="27"/>
      <c r="BL978" s="27"/>
      <c r="BM978" s="27"/>
    </row>
    <row r="979">
      <c r="I979" s="27"/>
      <c r="J979" s="27"/>
      <c r="K979" s="27"/>
      <c r="L979" s="27"/>
      <c r="M979" s="28"/>
      <c r="N979" s="29"/>
      <c r="O979" s="29"/>
      <c r="P979" s="29"/>
      <c r="Q979" s="27"/>
      <c r="R979" s="27"/>
      <c r="S979" s="27"/>
      <c r="T979" s="27"/>
      <c r="U979" s="27"/>
      <c r="V979" s="27"/>
      <c r="AE979" s="27"/>
      <c r="AF979" s="27"/>
      <c r="AG979" s="27"/>
      <c r="AH979" s="27"/>
      <c r="AI979" s="28"/>
      <c r="AJ979" s="29"/>
      <c r="AK979" s="29"/>
      <c r="AL979" s="27"/>
      <c r="AM979" s="27"/>
      <c r="AN979" s="27"/>
      <c r="AO979" s="27"/>
      <c r="AP979" s="27"/>
      <c r="AY979" s="27"/>
      <c r="AZ979" s="27"/>
      <c r="BA979" s="27"/>
      <c r="BB979" s="27"/>
      <c r="BC979" s="28"/>
      <c r="BD979" s="29"/>
      <c r="BE979" s="29"/>
      <c r="BF979" s="27"/>
      <c r="BG979" s="27"/>
      <c r="BH979" s="27"/>
      <c r="BI979" s="27"/>
      <c r="BJ979" s="27"/>
      <c r="BK979" s="27"/>
      <c r="BL979" s="27"/>
      <c r="BM979" s="27"/>
    </row>
    <row r="980">
      <c r="I980" s="27"/>
      <c r="J980" s="27"/>
      <c r="K980" s="27"/>
      <c r="L980" s="27"/>
      <c r="M980" s="28"/>
      <c r="N980" s="29"/>
      <c r="O980" s="29"/>
      <c r="P980" s="29"/>
      <c r="Q980" s="27"/>
      <c r="R980" s="27"/>
      <c r="S980" s="27"/>
      <c r="T980" s="27"/>
      <c r="U980" s="27"/>
      <c r="V980" s="27"/>
      <c r="AE980" s="27"/>
      <c r="AF980" s="27"/>
      <c r="AG980" s="27"/>
      <c r="AH980" s="27"/>
      <c r="AI980" s="28"/>
      <c r="AJ980" s="29"/>
      <c r="AK980" s="29"/>
      <c r="AL980" s="27"/>
      <c r="AM980" s="27"/>
      <c r="AN980" s="27"/>
      <c r="AO980" s="27"/>
      <c r="AP980" s="27"/>
      <c r="AY980" s="27"/>
      <c r="AZ980" s="27"/>
      <c r="BA980" s="27"/>
      <c r="BB980" s="27"/>
      <c r="BC980" s="28"/>
      <c r="BD980" s="29"/>
      <c r="BE980" s="29"/>
      <c r="BF980" s="27"/>
      <c r="BG980" s="27"/>
      <c r="BH980" s="27"/>
      <c r="BI980" s="27"/>
      <c r="BJ980" s="27"/>
      <c r="BK980" s="27"/>
      <c r="BL980" s="27"/>
      <c r="BM980" s="27"/>
    </row>
    <row r="981">
      <c r="I981" s="27"/>
      <c r="J981" s="27"/>
      <c r="K981" s="27"/>
      <c r="L981" s="27"/>
      <c r="M981" s="28"/>
      <c r="N981" s="29"/>
      <c r="O981" s="29"/>
      <c r="P981" s="29"/>
      <c r="Q981" s="27"/>
      <c r="R981" s="27"/>
      <c r="S981" s="27"/>
      <c r="T981" s="27"/>
      <c r="U981" s="27"/>
      <c r="V981" s="27"/>
      <c r="AE981" s="27"/>
      <c r="AF981" s="27"/>
      <c r="AG981" s="27"/>
      <c r="AH981" s="27"/>
      <c r="AI981" s="28"/>
      <c r="AJ981" s="29"/>
      <c r="AK981" s="29"/>
      <c r="AL981" s="27"/>
      <c r="AM981" s="27"/>
      <c r="AN981" s="27"/>
      <c r="AO981" s="27"/>
      <c r="AP981" s="27"/>
      <c r="AY981" s="27"/>
      <c r="AZ981" s="27"/>
      <c r="BA981" s="27"/>
      <c r="BB981" s="27"/>
      <c r="BC981" s="28"/>
      <c r="BD981" s="29"/>
      <c r="BE981" s="29"/>
      <c r="BF981" s="27"/>
      <c r="BG981" s="27"/>
      <c r="BH981" s="27"/>
      <c r="BI981" s="27"/>
      <c r="BJ981" s="27"/>
      <c r="BK981" s="27"/>
      <c r="BL981" s="27"/>
      <c r="BM981" s="27"/>
    </row>
    <row r="982">
      <c r="I982" s="27"/>
      <c r="J982" s="27"/>
      <c r="K982" s="27"/>
      <c r="L982" s="27"/>
      <c r="M982" s="28"/>
      <c r="N982" s="29"/>
      <c r="O982" s="29"/>
      <c r="P982" s="29"/>
      <c r="Q982" s="27"/>
      <c r="R982" s="27"/>
      <c r="S982" s="27"/>
      <c r="T982" s="27"/>
      <c r="U982" s="27"/>
      <c r="V982" s="27"/>
      <c r="AE982" s="27"/>
      <c r="AF982" s="27"/>
      <c r="AG982" s="27"/>
      <c r="AH982" s="27"/>
      <c r="AI982" s="28"/>
      <c r="AJ982" s="29"/>
      <c r="AK982" s="29"/>
      <c r="AL982" s="27"/>
      <c r="AM982" s="27"/>
      <c r="AN982" s="27"/>
      <c r="AO982" s="27"/>
      <c r="AP982" s="27"/>
      <c r="AY982" s="27"/>
      <c r="AZ982" s="27"/>
      <c r="BA982" s="27"/>
      <c r="BB982" s="27"/>
      <c r="BC982" s="28"/>
      <c r="BD982" s="29"/>
      <c r="BE982" s="29"/>
      <c r="BF982" s="27"/>
      <c r="BG982" s="27"/>
      <c r="BH982" s="27"/>
      <c r="BI982" s="27"/>
      <c r="BJ982" s="27"/>
      <c r="BK982" s="27"/>
      <c r="BL982" s="27"/>
      <c r="BM982" s="27"/>
    </row>
    <row r="983">
      <c r="I983" s="27"/>
      <c r="J983" s="27"/>
      <c r="K983" s="27"/>
      <c r="L983" s="27"/>
      <c r="M983" s="28"/>
      <c r="N983" s="29"/>
      <c r="O983" s="29"/>
      <c r="P983" s="29"/>
      <c r="Q983" s="27"/>
      <c r="R983" s="27"/>
      <c r="S983" s="27"/>
      <c r="T983" s="27"/>
      <c r="U983" s="27"/>
      <c r="V983" s="27"/>
      <c r="AE983" s="27"/>
      <c r="AF983" s="27"/>
      <c r="AG983" s="27"/>
      <c r="AH983" s="27"/>
      <c r="AI983" s="28"/>
      <c r="AJ983" s="29"/>
      <c r="AK983" s="29"/>
      <c r="AL983" s="27"/>
      <c r="AM983" s="27"/>
      <c r="AN983" s="27"/>
      <c r="AO983" s="27"/>
      <c r="AP983" s="27"/>
      <c r="AY983" s="27"/>
      <c r="AZ983" s="27"/>
      <c r="BA983" s="27"/>
      <c r="BB983" s="27"/>
      <c r="BC983" s="28"/>
      <c r="BD983" s="29"/>
      <c r="BE983" s="29"/>
      <c r="BF983" s="27"/>
      <c r="BG983" s="27"/>
      <c r="BH983" s="27"/>
      <c r="BI983" s="27"/>
      <c r="BJ983" s="27"/>
      <c r="BK983" s="27"/>
      <c r="BL983" s="27"/>
      <c r="BM983" s="27"/>
    </row>
    <row r="984">
      <c r="I984" s="27"/>
      <c r="J984" s="27"/>
      <c r="K984" s="27"/>
      <c r="L984" s="27"/>
      <c r="M984" s="28"/>
      <c r="N984" s="29"/>
      <c r="O984" s="29"/>
      <c r="P984" s="29"/>
      <c r="Q984" s="27"/>
      <c r="R984" s="27"/>
      <c r="S984" s="27"/>
      <c r="T984" s="27"/>
      <c r="U984" s="27"/>
      <c r="V984" s="27"/>
      <c r="AE984" s="27"/>
      <c r="AF984" s="27"/>
      <c r="AG984" s="27"/>
      <c r="AH984" s="27"/>
      <c r="AI984" s="28"/>
      <c r="AJ984" s="29"/>
      <c r="AK984" s="29"/>
      <c r="AL984" s="27"/>
      <c r="AM984" s="27"/>
      <c r="AN984" s="27"/>
      <c r="AO984" s="27"/>
      <c r="AP984" s="27"/>
      <c r="AY984" s="27"/>
      <c r="AZ984" s="27"/>
      <c r="BA984" s="27"/>
      <c r="BB984" s="27"/>
      <c r="BC984" s="28"/>
      <c r="BD984" s="29"/>
      <c r="BE984" s="29"/>
      <c r="BF984" s="27"/>
      <c r="BG984" s="27"/>
      <c r="BH984" s="27"/>
      <c r="BI984" s="27"/>
      <c r="BJ984" s="27"/>
      <c r="BK984" s="27"/>
      <c r="BL984" s="27"/>
      <c r="BM984" s="27"/>
    </row>
    <row r="985">
      <c r="I985" s="27"/>
      <c r="J985" s="27"/>
      <c r="K985" s="27"/>
      <c r="L985" s="27"/>
      <c r="M985" s="28"/>
      <c r="N985" s="29"/>
      <c r="O985" s="29"/>
      <c r="P985" s="29"/>
      <c r="Q985" s="27"/>
      <c r="R985" s="27"/>
      <c r="S985" s="27"/>
      <c r="T985" s="27"/>
      <c r="U985" s="27"/>
      <c r="V985" s="27"/>
      <c r="AE985" s="27"/>
      <c r="AF985" s="27"/>
      <c r="AG985" s="27"/>
      <c r="AH985" s="27"/>
      <c r="AI985" s="28"/>
      <c r="AJ985" s="29"/>
      <c r="AK985" s="29"/>
      <c r="AL985" s="27"/>
      <c r="AM985" s="27"/>
      <c r="AN985" s="27"/>
      <c r="AO985" s="27"/>
      <c r="AP985" s="27"/>
      <c r="AY985" s="27"/>
      <c r="AZ985" s="27"/>
      <c r="BA985" s="27"/>
      <c r="BB985" s="27"/>
      <c r="BC985" s="28"/>
      <c r="BD985" s="29"/>
      <c r="BE985" s="29"/>
      <c r="BF985" s="27"/>
      <c r="BG985" s="27"/>
      <c r="BH985" s="27"/>
      <c r="BI985" s="27"/>
      <c r="BJ985" s="27"/>
      <c r="BK985" s="27"/>
      <c r="BL985" s="27"/>
      <c r="BM985" s="27"/>
    </row>
    <row r="986">
      <c r="I986" s="27"/>
      <c r="J986" s="27"/>
      <c r="K986" s="27"/>
      <c r="L986" s="27"/>
      <c r="M986" s="28"/>
      <c r="N986" s="29"/>
      <c r="O986" s="29"/>
      <c r="P986" s="29"/>
      <c r="Q986" s="27"/>
      <c r="R986" s="27"/>
      <c r="S986" s="27"/>
      <c r="T986" s="27"/>
      <c r="U986" s="27"/>
      <c r="V986" s="27"/>
      <c r="AE986" s="27"/>
      <c r="AF986" s="27"/>
      <c r="AG986" s="27"/>
      <c r="AH986" s="27"/>
      <c r="AI986" s="28"/>
      <c r="AJ986" s="29"/>
      <c r="AK986" s="29"/>
      <c r="AL986" s="27"/>
      <c r="AM986" s="27"/>
      <c r="AN986" s="27"/>
      <c r="AO986" s="27"/>
      <c r="AP986" s="27"/>
      <c r="AY986" s="27"/>
      <c r="AZ986" s="27"/>
      <c r="BA986" s="27"/>
      <c r="BB986" s="27"/>
      <c r="BC986" s="28"/>
      <c r="BD986" s="29"/>
      <c r="BE986" s="29"/>
      <c r="BF986" s="27"/>
      <c r="BG986" s="27"/>
      <c r="BH986" s="27"/>
      <c r="BI986" s="27"/>
      <c r="BJ986" s="27"/>
      <c r="BK986" s="27"/>
      <c r="BL986" s="27"/>
      <c r="BM986" s="27"/>
    </row>
    <row r="987">
      <c r="I987" s="27"/>
      <c r="J987" s="27"/>
      <c r="K987" s="27"/>
      <c r="L987" s="27"/>
      <c r="M987" s="28"/>
      <c r="N987" s="29"/>
      <c r="O987" s="29"/>
      <c r="P987" s="29"/>
      <c r="Q987" s="27"/>
      <c r="R987" s="27"/>
      <c r="S987" s="27"/>
      <c r="T987" s="27"/>
      <c r="U987" s="27"/>
      <c r="V987" s="27"/>
      <c r="AE987" s="27"/>
      <c r="AF987" s="27"/>
      <c r="AG987" s="27"/>
      <c r="AH987" s="27"/>
      <c r="AI987" s="28"/>
      <c r="AJ987" s="29"/>
      <c r="AK987" s="29"/>
      <c r="AL987" s="27"/>
      <c r="AM987" s="27"/>
      <c r="AN987" s="27"/>
      <c r="AO987" s="27"/>
      <c r="AP987" s="27"/>
      <c r="AY987" s="27"/>
      <c r="AZ987" s="27"/>
      <c r="BA987" s="27"/>
      <c r="BB987" s="27"/>
      <c r="BC987" s="28"/>
      <c r="BD987" s="29"/>
      <c r="BE987" s="29"/>
      <c r="BF987" s="27"/>
      <c r="BG987" s="27"/>
      <c r="BH987" s="27"/>
      <c r="BI987" s="27"/>
      <c r="BJ987" s="27"/>
      <c r="BK987" s="27"/>
      <c r="BL987" s="27"/>
      <c r="BM987" s="27"/>
    </row>
    <row r="988">
      <c r="I988" s="27"/>
      <c r="J988" s="27"/>
      <c r="K988" s="27"/>
      <c r="L988" s="27"/>
      <c r="M988" s="28"/>
      <c r="N988" s="29"/>
      <c r="O988" s="29"/>
      <c r="P988" s="29"/>
      <c r="Q988" s="27"/>
      <c r="R988" s="27"/>
      <c r="S988" s="27"/>
      <c r="T988" s="27"/>
      <c r="U988" s="27"/>
      <c r="V988" s="27"/>
      <c r="AE988" s="27"/>
      <c r="AF988" s="27"/>
      <c r="AG988" s="27"/>
      <c r="AH988" s="27"/>
      <c r="AI988" s="28"/>
      <c r="AJ988" s="29"/>
      <c r="AK988" s="29"/>
      <c r="AL988" s="27"/>
      <c r="AM988" s="27"/>
      <c r="AN988" s="27"/>
      <c r="AO988" s="27"/>
      <c r="AP988" s="27"/>
      <c r="AY988" s="27"/>
      <c r="AZ988" s="27"/>
      <c r="BA988" s="27"/>
      <c r="BB988" s="27"/>
      <c r="BC988" s="28"/>
      <c r="BD988" s="29"/>
      <c r="BE988" s="29"/>
      <c r="BF988" s="27"/>
      <c r="BG988" s="27"/>
      <c r="BH988" s="27"/>
      <c r="BI988" s="27"/>
      <c r="BJ988" s="27"/>
      <c r="BK988" s="27"/>
      <c r="BL988" s="27"/>
      <c r="BM988" s="27"/>
    </row>
    <row r="989">
      <c r="I989" s="27"/>
      <c r="J989" s="27"/>
      <c r="K989" s="27"/>
      <c r="L989" s="27"/>
      <c r="M989" s="28"/>
      <c r="N989" s="29"/>
      <c r="O989" s="29"/>
      <c r="P989" s="29"/>
      <c r="Q989" s="27"/>
      <c r="R989" s="27"/>
      <c r="S989" s="27"/>
      <c r="T989" s="27"/>
      <c r="U989" s="27"/>
      <c r="V989" s="27"/>
      <c r="AE989" s="27"/>
      <c r="AF989" s="27"/>
      <c r="AG989" s="27"/>
      <c r="AH989" s="27"/>
      <c r="AI989" s="28"/>
      <c r="AJ989" s="29"/>
      <c r="AK989" s="29"/>
      <c r="AL989" s="27"/>
      <c r="AM989" s="27"/>
      <c r="AN989" s="27"/>
      <c r="AO989" s="27"/>
      <c r="AP989" s="27"/>
      <c r="AY989" s="27"/>
      <c r="AZ989" s="27"/>
      <c r="BA989" s="27"/>
      <c r="BB989" s="27"/>
      <c r="BC989" s="28"/>
      <c r="BD989" s="29"/>
      <c r="BE989" s="29"/>
      <c r="BF989" s="27"/>
      <c r="BG989" s="27"/>
      <c r="BH989" s="27"/>
      <c r="BI989" s="27"/>
      <c r="BJ989" s="27"/>
      <c r="BK989" s="27"/>
      <c r="BL989" s="27"/>
      <c r="BM989" s="27"/>
    </row>
    <row r="990">
      <c r="I990" s="27"/>
      <c r="J990" s="27"/>
      <c r="K990" s="27"/>
      <c r="L990" s="27"/>
      <c r="M990" s="28"/>
      <c r="N990" s="29"/>
      <c r="O990" s="29"/>
      <c r="P990" s="29"/>
      <c r="Q990" s="27"/>
      <c r="R990" s="27"/>
      <c r="S990" s="27"/>
      <c r="T990" s="27"/>
      <c r="U990" s="27"/>
      <c r="V990" s="27"/>
      <c r="AE990" s="27"/>
      <c r="AF990" s="27"/>
      <c r="AG990" s="27"/>
      <c r="AH990" s="27"/>
      <c r="AI990" s="28"/>
      <c r="AJ990" s="29"/>
      <c r="AK990" s="29"/>
      <c r="AL990" s="27"/>
      <c r="AM990" s="27"/>
      <c r="AN990" s="27"/>
      <c r="AO990" s="27"/>
      <c r="AP990" s="27"/>
      <c r="AY990" s="27"/>
      <c r="AZ990" s="27"/>
      <c r="BA990" s="27"/>
      <c r="BB990" s="27"/>
      <c r="BC990" s="28"/>
      <c r="BD990" s="29"/>
      <c r="BE990" s="29"/>
      <c r="BF990" s="27"/>
      <c r="BG990" s="27"/>
      <c r="BH990" s="27"/>
      <c r="BI990" s="27"/>
      <c r="BJ990" s="27"/>
      <c r="BK990" s="27"/>
      <c r="BL990" s="27"/>
      <c r="BM990" s="27"/>
    </row>
    <row r="991">
      <c r="I991" s="27"/>
      <c r="J991" s="27"/>
      <c r="K991" s="27"/>
      <c r="L991" s="27"/>
      <c r="M991" s="28"/>
      <c r="N991" s="29"/>
      <c r="O991" s="29"/>
      <c r="P991" s="29"/>
      <c r="Q991" s="27"/>
      <c r="R991" s="27"/>
      <c r="S991" s="27"/>
      <c r="T991" s="27"/>
      <c r="U991" s="27"/>
      <c r="V991" s="27"/>
      <c r="AE991" s="27"/>
      <c r="AF991" s="27"/>
      <c r="AG991" s="27"/>
      <c r="AH991" s="27"/>
      <c r="AI991" s="28"/>
      <c r="AJ991" s="29"/>
      <c r="AK991" s="29"/>
      <c r="AL991" s="27"/>
      <c r="AM991" s="27"/>
      <c r="AN991" s="27"/>
      <c r="AO991" s="27"/>
      <c r="AP991" s="27"/>
      <c r="AY991" s="27"/>
      <c r="AZ991" s="27"/>
      <c r="BA991" s="27"/>
      <c r="BB991" s="27"/>
      <c r="BC991" s="28"/>
      <c r="BD991" s="29"/>
      <c r="BE991" s="29"/>
      <c r="BF991" s="27"/>
      <c r="BG991" s="27"/>
      <c r="BH991" s="27"/>
      <c r="BI991" s="27"/>
      <c r="BJ991" s="27"/>
      <c r="BK991" s="27"/>
      <c r="BL991" s="27"/>
      <c r="BM991" s="27"/>
    </row>
    <row r="992">
      <c r="I992" s="27"/>
      <c r="J992" s="27"/>
      <c r="K992" s="27"/>
      <c r="L992" s="27"/>
      <c r="M992" s="28"/>
      <c r="N992" s="29"/>
      <c r="O992" s="29"/>
      <c r="P992" s="29"/>
      <c r="Q992" s="27"/>
      <c r="R992" s="27"/>
      <c r="S992" s="27"/>
      <c r="T992" s="27"/>
      <c r="U992" s="27"/>
      <c r="V992" s="27"/>
      <c r="AE992" s="27"/>
      <c r="AF992" s="27"/>
      <c r="AG992" s="27"/>
      <c r="AH992" s="27"/>
      <c r="AI992" s="28"/>
      <c r="AJ992" s="29"/>
      <c r="AK992" s="29"/>
      <c r="AL992" s="27"/>
      <c r="AM992" s="27"/>
      <c r="AN992" s="27"/>
      <c r="AO992" s="27"/>
      <c r="AP992" s="27"/>
      <c r="AY992" s="27"/>
      <c r="AZ992" s="27"/>
      <c r="BA992" s="27"/>
      <c r="BB992" s="27"/>
      <c r="BC992" s="28"/>
      <c r="BD992" s="29"/>
      <c r="BE992" s="29"/>
      <c r="BF992" s="27"/>
      <c r="BG992" s="27"/>
      <c r="BH992" s="27"/>
      <c r="BI992" s="27"/>
      <c r="BJ992" s="27"/>
      <c r="BK992" s="27"/>
      <c r="BL992" s="27"/>
      <c r="BM992" s="27"/>
    </row>
    <row r="993">
      <c r="I993" s="27"/>
      <c r="J993" s="27"/>
      <c r="K993" s="27"/>
      <c r="L993" s="27"/>
      <c r="M993" s="28"/>
      <c r="N993" s="29"/>
      <c r="O993" s="29"/>
      <c r="P993" s="29"/>
      <c r="Q993" s="27"/>
      <c r="R993" s="27"/>
      <c r="S993" s="27"/>
      <c r="T993" s="27"/>
      <c r="U993" s="27"/>
      <c r="V993" s="27"/>
      <c r="AE993" s="27"/>
      <c r="AF993" s="27"/>
      <c r="AG993" s="27"/>
      <c r="AH993" s="27"/>
      <c r="AI993" s="28"/>
      <c r="AJ993" s="29"/>
      <c r="AK993" s="29"/>
      <c r="AL993" s="27"/>
      <c r="AM993" s="27"/>
      <c r="AN993" s="27"/>
      <c r="AO993" s="27"/>
      <c r="AP993" s="27"/>
      <c r="AY993" s="27"/>
      <c r="AZ993" s="27"/>
      <c r="BA993" s="27"/>
      <c r="BB993" s="27"/>
      <c r="BC993" s="28"/>
      <c r="BD993" s="29"/>
      <c r="BE993" s="29"/>
      <c r="BF993" s="27"/>
      <c r="BG993" s="27"/>
      <c r="BH993" s="27"/>
      <c r="BI993" s="27"/>
      <c r="BJ993" s="27"/>
      <c r="BK993" s="27"/>
      <c r="BL993" s="27"/>
      <c r="BM993" s="27"/>
    </row>
    <row r="994">
      <c r="I994" s="27"/>
      <c r="J994" s="27"/>
      <c r="K994" s="27"/>
      <c r="L994" s="27"/>
      <c r="M994" s="28"/>
      <c r="N994" s="29"/>
      <c r="O994" s="29"/>
      <c r="P994" s="29"/>
      <c r="Q994" s="27"/>
      <c r="R994" s="27"/>
      <c r="S994" s="27"/>
      <c r="T994" s="27"/>
      <c r="U994" s="27"/>
      <c r="V994" s="27"/>
      <c r="AE994" s="27"/>
      <c r="AF994" s="27"/>
      <c r="AG994" s="27"/>
      <c r="AH994" s="27"/>
      <c r="AI994" s="28"/>
      <c r="AJ994" s="29"/>
      <c r="AK994" s="29"/>
      <c r="AL994" s="27"/>
      <c r="AM994" s="27"/>
      <c r="AN994" s="27"/>
      <c r="AO994" s="27"/>
      <c r="AP994" s="27"/>
      <c r="AY994" s="27"/>
      <c r="AZ994" s="27"/>
      <c r="BA994" s="27"/>
      <c r="BB994" s="27"/>
      <c r="BC994" s="28"/>
      <c r="BD994" s="29"/>
      <c r="BE994" s="29"/>
      <c r="BF994" s="27"/>
      <c r="BG994" s="27"/>
      <c r="BH994" s="27"/>
      <c r="BI994" s="27"/>
      <c r="BJ994" s="27"/>
      <c r="BK994" s="27"/>
      <c r="BL994" s="27"/>
      <c r="BM994" s="27"/>
    </row>
    <row r="995">
      <c r="I995" s="27"/>
      <c r="J995" s="27"/>
      <c r="K995" s="27"/>
      <c r="L995" s="27"/>
      <c r="M995" s="28"/>
      <c r="N995" s="29"/>
      <c r="O995" s="29"/>
      <c r="P995" s="29"/>
      <c r="Q995" s="27"/>
      <c r="R995" s="27"/>
      <c r="S995" s="27"/>
      <c r="T995" s="27"/>
      <c r="U995" s="27"/>
      <c r="V995" s="27"/>
      <c r="AE995" s="27"/>
      <c r="AF995" s="27"/>
      <c r="AG995" s="27"/>
      <c r="AH995" s="27"/>
      <c r="AI995" s="28"/>
      <c r="AJ995" s="29"/>
      <c r="AK995" s="29"/>
      <c r="AL995" s="27"/>
      <c r="AM995" s="27"/>
      <c r="AN995" s="27"/>
      <c r="AO995" s="27"/>
      <c r="AP995" s="27"/>
      <c r="AY995" s="27"/>
      <c r="AZ995" s="27"/>
      <c r="BA995" s="27"/>
      <c r="BB995" s="27"/>
      <c r="BC995" s="28"/>
      <c r="BD995" s="29"/>
      <c r="BE995" s="29"/>
      <c r="BF995" s="27"/>
      <c r="BG995" s="27"/>
      <c r="BH995" s="27"/>
      <c r="BI995" s="27"/>
      <c r="BJ995" s="27"/>
      <c r="BK995" s="27"/>
      <c r="BL995" s="27"/>
      <c r="BM995" s="27"/>
    </row>
    <row r="996">
      <c r="I996" s="27"/>
      <c r="J996" s="27"/>
      <c r="K996" s="27"/>
      <c r="L996" s="27"/>
      <c r="M996" s="28"/>
      <c r="N996" s="29"/>
      <c r="O996" s="29"/>
      <c r="P996" s="29"/>
      <c r="Q996" s="27"/>
      <c r="R996" s="27"/>
      <c r="S996" s="27"/>
      <c r="T996" s="27"/>
      <c r="U996" s="27"/>
      <c r="V996" s="27"/>
      <c r="AE996" s="27"/>
      <c r="AF996" s="27"/>
      <c r="AG996" s="27"/>
      <c r="AH996" s="27"/>
      <c r="AI996" s="28"/>
      <c r="AJ996" s="29"/>
      <c r="AK996" s="29"/>
      <c r="AL996" s="27"/>
      <c r="AM996" s="27"/>
      <c r="AN996" s="27"/>
      <c r="AO996" s="27"/>
      <c r="AP996" s="27"/>
      <c r="AY996" s="27"/>
      <c r="AZ996" s="27"/>
      <c r="BA996" s="27"/>
      <c r="BB996" s="27"/>
      <c r="BC996" s="28"/>
      <c r="BD996" s="29"/>
      <c r="BE996" s="29"/>
      <c r="BF996" s="27"/>
      <c r="BG996" s="27"/>
      <c r="BH996" s="27"/>
      <c r="BI996" s="27"/>
      <c r="BJ996" s="27"/>
      <c r="BK996" s="27"/>
      <c r="BL996" s="27"/>
      <c r="BM996" s="27"/>
    </row>
    <row r="997">
      <c r="I997" s="27"/>
      <c r="J997" s="27"/>
      <c r="K997" s="27"/>
      <c r="L997" s="27"/>
      <c r="M997" s="28"/>
      <c r="N997" s="29"/>
      <c r="O997" s="29"/>
      <c r="P997" s="29"/>
      <c r="Q997" s="27"/>
      <c r="R997" s="27"/>
      <c r="S997" s="27"/>
      <c r="T997" s="27"/>
      <c r="U997" s="27"/>
      <c r="V997" s="27"/>
      <c r="AE997" s="27"/>
      <c r="AF997" s="27"/>
      <c r="AG997" s="27"/>
      <c r="AH997" s="27"/>
      <c r="AI997" s="28"/>
      <c r="AJ997" s="29"/>
      <c r="AK997" s="29"/>
      <c r="AL997" s="27"/>
      <c r="AM997" s="27"/>
      <c r="AN997" s="27"/>
      <c r="AO997" s="27"/>
      <c r="AP997" s="27"/>
      <c r="AY997" s="27"/>
      <c r="AZ997" s="27"/>
      <c r="BA997" s="27"/>
      <c r="BB997" s="27"/>
      <c r="BC997" s="28"/>
      <c r="BD997" s="29"/>
      <c r="BE997" s="29"/>
      <c r="BF997" s="27"/>
      <c r="BG997" s="27"/>
      <c r="BH997" s="27"/>
      <c r="BI997" s="27"/>
      <c r="BJ997" s="27"/>
      <c r="BK997" s="27"/>
      <c r="BL997" s="27"/>
      <c r="BM997" s="27"/>
    </row>
    <row r="998">
      <c r="I998" s="27"/>
      <c r="J998" s="27"/>
      <c r="K998" s="27"/>
      <c r="L998" s="27"/>
      <c r="M998" s="28"/>
      <c r="N998" s="29"/>
      <c r="O998" s="29"/>
      <c r="P998" s="29"/>
      <c r="Q998" s="27"/>
      <c r="R998" s="27"/>
      <c r="S998" s="27"/>
      <c r="T998" s="27"/>
      <c r="U998" s="27"/>
      <c r="V998" s="27"/>
      <c r="AE998" s="27"/>
      <c r="AF998" s="27"/>
      <c r="AG998" s="27"/>
      <c r="AH998" s="27"/>
      <c r="AI998" s="28"/>
      <c r="AJ998" s="29"/>
      <c r="AK998" s="29"/>
      <c r="AL998" s="27"/>
      <c r="AM998" s="27"/>
      <c r="AN998" s="27"/>
      <c r="AO998" s="27"/>
      <c r="AP998" s="27"/>
      <c r="AY998" s="27"/>
      <c r="AZ998" s="27"/>
      <c r="BA998" s="27"/>
      <c r="BB998" s="27"/>
      <c r="BC998" s="28"/>
      <c r="BD998" s="29"/>
      <c r="BE998" s="29"/>
      <c r="BF998" s="27"/>
      <c r="BG998" s="27"/>
      <c r="BH998" s="27"/>
      <c r="BI998" s="27"/>
      <c r="BJ998" s="27"/>
      <c r="BK998" s="27"/>
      <c r="BL998" s="27"/>
      <c r="BM998" s="27"/>
    </row>
    <row r="999">
      <c r="I999" s="27"/>
      <c r="J999" s="27"/>
      <c r="K999" s="27"/>
      <c r="L999" s="27"/>
      <c r="M999" s="28"/>
      <c r="N999" s="29"/>
      <c r="O999" s="29"/>
      <c r="P999" s="29"/>
      <c r="Q999" s="27"/>
      <c r="R999" s="27"/>
      <c r="S999" s="27"/>
      <c r="T999" s="27"/>
      <c r="U999" s="27"/>
      <c r="V999" s="27"/>
      <c r="AE999" s="27"/>
      <c r="AF999" s="27"/>
      <c r="AG999" s="27"/>
      <c r="AH999" s="27"/>
      <c r="AI999" s="28"/>
      <c r="AJ999" s="29"/>
      <c r="AK999" s="29"/>
      <c r="AL999" s="27"/>
      <c r="AM999" s="27"/>
      <c r="AN999" s="27"/>
      <c r="AO999" s="27"/>
      <c r="AP999" s="27"/>
      <c r="AY999" s="27"/>
      <c r="AZ999" s="27"/>
      <c r="BA999" s="27"/>
      <c r="BB999" s="27"/>
      <c r="BC999" s="28"/>
      <c r="BD999" s="29"/>
      <c r="BE999" s="29"/>
      <c r="BF999" s="27"/>
      <c r="BG999" s="27"/>
      <c r="BH999" s="27"/>
      <c r="BI999" s="27"/>
      <c r="BJ999" s="27"/>
      <c r="BK999" s="27"/>
      <c r="BL999" s="27"/>
      <c r="BM999" s="27"/>
    </row>
    <row r="1000">
      <c r="I1000" s="27"/>
      <c r="J1000" s="27"/>
      <c r="K1000" s="27"/>
      <c r="L1000" s="27"/>
      <c r="M1000" s="28"/>
      <c r="N1000" s="29"/>
      <c r="O1000" s="29"/>
      <c r="P1000" s="29"/>
      <c r="Q1000" s="27"/>
      <c r="R1000" s="27"/>
      <c r="S1000" s="27"/>
      <c r="T1000" s="27"/>
      <c r="U1000" s="27"/>
      <c r="V1000" s="27"/>
      <c r="AE1000" s="27"/>
      <c r="AF1000" s="27"/>
      <c r="AG1000" s="27"/>
      <c r="AH1000" s="27"/>
      <c r="AI1000" s="28"/>
      <c r="AJ1000" s="29"/>
      <c r="AK1000" s="29"/>
      <c r="AL1000" s="27"/>
      <c r="AM1000" s="27"/>
      <c r="AN1000" s="27"/>
      <c r="AO1000" s="27"/>
      <c r="AP1000" s="27"/>
      <c r="AY1000" s="27"/>
      <c r="AZ1000" s="27"/>
      <c r="BA1000" s="27"/>
      <c r="BB1000" s="27"/>
      <c r="BC1000" s="28"/>
      <c r="BD1000" s="29"/>
      <c r="BE1000" s="29"/>
      <c r="BF1000" s="27"/>
      <c r="BG1000" s="27"/>
      <c r="BH1000" s="27"/>
      <c r="BI1000" s="27"/>
      <c r="BJ1000" s="27"/>
      <c r="BK1000" s="27"/>
      <c r="BL1000" s="27"/>
      <c r="BM1000" s="27"/>
    </row>
  </sheetData>
  <mergeCells count="18">
    <mergeCell ref="T11:V11"/>
    <mergeCell ref="X11:Z11"/>
    <mergeCell ref="AB11:AD11"/>
    <mergeCell ref="AF11:AH11"/>
    <mergeCell ref="AJ11:AL11"/>
    <mergeCell ref="AN11:AP11"/>
    <mergeCell ref="AW11:AY11"/>
    <mergeCell ref="BB11:BD11"/>
    <mergeCell ref="BG11:BI11"/>
    <mergeCell ref="BK11:BL11"/>
    <mergeCell ref="B1:H1"/>
    <mergeCell ref="X1:AD1"/>
    <mergeCell ref="AR1:AX1"/>
    <mergeCell ref="B11:D11"/>
    <mergeCell ref="G11:I11"/>
    <mergeCell ref="L11:N11"/>
    <mergeCell ref="P11:R11"/>
    <mergeCell ref="AR11:AT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3" max="3" width="16.0"/>
    <col customWidth="1" min="8" max="8" width="17.0"/>
    <col customWidth="1" min="15" max="15" width="16.0"/>
  </cols>
  <sheetData>
    <row r="1">
      <c r="A1" s="40" t="s">
        <v>9</v>
      </c>
      <c r="H1" s="40" t="s">
        <v>8</v>
      </c>
      <c r="O1" s="40" t="s">
        <v>10</v>
      </c>
    </row>
    <row r="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15</v>
      </c>
      <c r="T2" s="20" t="s">
        <v>16</v>
      </c>
    </row>
    <row r="3">
      <c r="A3" s="41">
        <v>6569.0</v>
      </c>
      <c r="B3" s="41">
        <v>416.390942622</v>
      </c>
      <c r="C3" s="41">
        <v>0.0049119767107326</v>
      </c>
      <c r="D3" s="41">
        <v>0.0049120366755916</v>
      </c>
      <c r="E3" s="41">
        <v>0.00799767028702</v>
      </c>
      <c r="F3" s="41">
        <v>0.0011556082610444</v>
      </c>
      <c r="H3" s="41">
        <v>5709.0</v>
      </c>
      <c r="I3" s="41">
        <v>270.146445857999</v>
      </c>
      <c r="J3" s="41">
        <v>0.0031274012831225</v>
      </c>
      <c r="K3" s="41">
        <v>0.003186604045352</v>
      </c>
      <c r="L3" s="41">
        <v>0.0050189359595899</v>
      </c>
      <c r="M3" s="41">
        <v>7.496907439888E-4</v>
      </c>
      <c r="O3" s="41">
        <v>6462.0</v>
      </c>
      <c r="P3" s="41">
        <v>370.282418713</v>
      </c>
      <c r="Q3" s="41">
        <v>0.001735151880314</v>
      </c>
      <c r="R3" s="41">
        <v>0.0043679327364701</v>
      </c>
      <c r="S3" s="41">
        <v>0.0071100667991599</v>
      </c>
      <c r="T3" s="41">
        <v>0.0010276154961416</v>
      </c>
    </row>
    <row r="4">
      <c r="A4" s="41">
        <v>5764.0</v>
      </c>
      <c r="B4" s="41">
        <v>352.814410660999</v>
      </c>
      <c r="C4" s="41">
        <v>0.0041677192332288</v>
      </c>
      <c r="D4" s="41">
        <v>0.0041618577323486</v>
      </c>
      <c r="E4" s="41">
        <v>0.0067931637678599</v>
      </c>
      <c r="F4" s="41">
        <v>9.791321473388E-4</v>
      </c>
      <c r="H4" s="41">
        <v>6227.0</v>
      </c>
      <c r="I4" s="41">
        <v>302.543354538999</v>
      </c>
      <c r="J4" s="41">
        <v>0.0035264035958051</v>
      </c>
      <c r="K4" s="41">
        <v>0.0035689991230875</v>
      </c>
      <c r="L4" s="41">
        <v>0.005689121773516</v>
      </c>
      <c r="M4" s="41">
        <v>8.396424076194E-4</v>
      </c>
      <c r="O4" s="41">
        <v>6703.0</v>
      </c>
      <c r="P4" s="41">
        <v>388.626391289999</v>
      </c>
      <c r="Q4" s="41">
        <v>0.0018244580287123</v>
      </c>
      <c r="R4" s="41">
        <v>0.0045845608916145</v>
      </c>
      <c r="S4" s="41">
        <v>0.0074861448777999</v>
      </c>
      <c r="T4" s="41">
        <v>0.0010785579968055</v>
      </c>
    </row>
    <row r="5">
      <c r="A5" s="41">
        <v>6796.0</v>
      </c>
      <c r="B5" s="41">
        <v>435.999992575</v>
      </c>
      <c r="C5" s="41">
        <v>0.005152042156151</v>
      </c>
      <c r="D5" s="41">
        <v>0.0051430174904597</v>
      </c>
      <c r="E5" s="41">
        <v>0.0083997683864759</v>
      </c>
      <c r="F5" s="41">
        <v>0.0012099503918444</v>
      </c>
      <c r="H5" s="41">
        <v>5550.0</v>
      </c>
      <c r="I5" s="41">
        <v>252.9348184</v>
      </c>
      <c r="J5" s="41">
        <v>0.0029448670865434</v>
      </c>
      <c r="K5" s="41">
        <v>0.0029835246677791</v>
      </c>
      <c r="L5" s="41">
        <v>0.0047471149087999</v>
      </c>
      <c r="M5" s="41">
        <v>7.019093346361E-4</v>
      </c>
      <c r="O5" s="41">
        <v>6511.0</v>
      </c>
      <c r="P5" s="41">
        <v>371.732360126</v>
      </c>
      <c r="Q5" s="41">
        <v>0.0017443934774176</v>
      </c>
      <c r="R5" s="41">
        <v>0.0043848303629305</v>
      </c>
      <c r="S5" s="41">
        <v>0.007155815169092</v>
      </c>
      <c r="T5" s="41">
        <v>0.0010315756896555</v>
      </c>
    </row>
    <row r="6">
      <c r="A6" s="41">
        <v>8413.0</v>
      </c>
      <c r="B6" s="41">
        <v>555.845448031999</v>
      </c>
      <c r="C6" s="41">
        <v>0.0065711195232055</v>
      </c>
      <c r="D6" s="41">
        <v>0.0065570059943506</v>
      </c>
      <c r="E6" s="41">
        <v>0.010716618851066</v>
      </c>
      <c r="F6" s="41">
        <v>0.0015426018814444</v>
      </c>
      <c r="H6" s="41">
        <v>6668.0</v>
      </c>
      <c r="I6" s="41">
        <v>311.570914134999</v>
      </c>
      <c r="J6" s="41">
        <v>0.0036307468996309</v>
      </c>
      <c r="K6" s="41">
        <v>0.0036749581906597</v>
      </c>
      <c r="L6" s="41">
        <v>0.005857040241184</v>
      </c>
      <c r="M6" s="41">
        <v>8.645491594833E-4</v>
      </c>
      <c r="O6" s="41">
        <v>7813.0</v>
      </c>
      <c r="P6" s="41">
        <v>455.009964963999</v>
      </c>
      <c r="Q6" s="41">
        <v>0.0021376840931512</v>
      </c>
      <c r="R6" s="41">
        <v>0.0053670654821909</v>
      </c>
      <c r="S6" s="41">
        <v>0.008777055354972</v>
      </c>
      <c r="T6" s="41">
        <v>0.0012626309473861</v>
      </c>
    </row>
    <row r="7">
      <c r="A7" s="41">
        <v>6373.0</v>
      </c>
      <c r="B7" s="41">
        <v>410.305049587</v>
      </c>
      <c r="C7" s="41">
        <v>0.0048486495084616</v>
      </c>
      <c r="D7" s="41">
        <v>0.0048398493798791</v>
      </c>
      <c r="E7" s="41">
        <v>0.0079054768799319</v>
      </c>
      <c r="F7" s="41">
        <v>0.0011386531972833</v>
      </c>
      <c r="H7" s="41">
        <v>5992.0</v>
      </c>
      <c r="I7" s="41">
        <v>290.322741777999</v>
      </c>
      <c r="J7" s="41">
        <v>0.0033888152043582</v>
      </c>
      <c r="K7" s="41">
        <v>0.0034244361119263</v>
      </c>
      <c r="L7" s="41">
        <v>0.005473691323394</v>
      </c>
      <c r="M7" s="41">
        <v>8.056551538499E-4</v>
      </c>
      <c r="O7" s="41">
        <v>5750.0</v>
      </c>
      <c r="P7" s="41">
        <v>320.539772712999</v>
      </c>
      <c r="Q7" s="41">
        <v>0.0015043213683756</v>
      </c>
      <c r="R7" s="41">
        <v>0.0037806980711048</v>
      </c>
      <c r="S7" s="41">
        <v>0.0061718324374619</v>
      </c>
      <c r="T7" s="41">
        <v>8.894390794611E-4</v>
      </c>
    </row>
    <row r="8">
      <c r="A8" s="41">
        <v>6622.0</v>
      </c>
      <c r="B8" s="41">
        <v>429.195903636999</v>
      </c>
      <c r="C8" s="41">
        <v>0.0050715934698501</v>
      </c>
      <c r="D8" s="41">
        <v>0.0050624513113416</v>
      </c>
      <c r="E8" s="41">
        <v>0.008268910504012</v>
      </c>
      <c r="F8" s="41">
        <v>0.0011910117707861</v>
      </c>
      <c r="H8" s="41">
        <v>5145.0</v>
      </c>
      <c r="I8" s="41">
        <v>229.030698488999</v>
      </c>
      <c r="J8" s="41">
        <v>0.0026705328148818</v>
      </c>
      <c r="K8" s="41">
        <v>0.0027016606977715</v>
      </c>
      <c r="L8" s="41">
        <v>0.004309767614478</v>
      </c>
      <c r="M8" s="41">
        <v>6.355716774611E-4</v>
      </c>
      <c r="O8" s="41">
        <v>6782.0</v>
      </c>
      <c r="P8" s="41">
        <v>402.451240349999</v>
      </c>
      <c r="Q8" s="41">
        <v>0.0018897189684165</v>
      </c>
      <c r="R8" s="41">
        <v>0.0047467191876319</v>
      </c>
      <c r="S8" s="41">
        <v>0.0077561562049199</v>
      </c>
      <c r="T8" s="41">
        <v>0.0011167380864583</v>
      </c>
    </row>
    <row r="9">
      <c r="A9" s="41">
        <v>6060.0</v>
      </c>
      <c r="B9" s="41">
        <v>368.418984844</v>
      </c>
      <c r="C9" s="41">
        <v>0.004352229863717</v>
      </c>
      <c r="D9" s="41">
        <v>0.0043455034640013</v>
      </c>
      <c r="E9" s="41">
        <v>0.0070946517868279</v>
      </c>
      <c r="F9" s="41">
        <v>0.0010223397005888</v>
      </c>
      <c r="H9" s="41">
        <v>5804.0</v>
      </c>
      <c r="I9" s="41">
        <v>262.611147692</v>
      </c>
      <c r="J9" s="41">
        <v>0.003065058618948</v>
      </c>
      <c r="K9" s="41">
        <v>0.0030976402100708</v>
      </c>
      <c r="L9" s="41">
        <v>0.00495031923803</v>
      </c>
      <c r="M9" s="41">
        <v>7.287547330333E-4</v>
      </c>
      <c r="O9" s="41">
        <v>6230.0</v>
      </c>
      <c r="P9" s="41">
        <v>342.041868940999</v>
      </c>
      <c r="Q9" s="41">
        <v>0.001605559819649</v>
      </c>
      <c r="R9" s="41">
        <v>0.0040342062229888</v>
      </c>
      <c r="S9" s="41">
        <v>0.0065883183262059</v>
      </c>
      <c r="T9" s="41">
        <v>9.490924618638E-4</v>
      </c>
    </row>
    <row r="10">
      <c r="A10" s="41">
        <v>5647.0</v>
      </c>
      <c r="B10" s="41">
        <v>336.874039472999</v>
      </c>
      <c r="C10" s="41">
        <v>0.0039788396177605</v>
      </c>
      <c r="D10" s="41">
        <v>0.0039726983687375</v>
      </c>
      <c r="E10" s="41">
        <v>0.0064859671332139</v>
      </c>
      <c r="F10" s="41">
        <v>9.346363689416E-4</v>
      </c>
      <c r="H10" s="41">
        <v>6526.0</v>
      </c>
      <c r="I10" s="41">
        <v>315.543064622</v>
      </c>
      <c r="J10" s="41">
        <v>0.003687335563966</v>
      </c>
      <c r="K10" s="41">
        <v>0.0037219619653138</v>
      </c>
      <c r="L10" s="41">
        <v>0.0059610133799179</v>
      </c>
      <c r="M10" s="41">
        <v>8.756123877388E-4</v>
      </c>
      <c r="O10" s="41">
        <v>6582.0</v>
      </c>
      <c r="P10" s="41">
        <v>376.939917459999</v>
      </c>
      <c r="Q10" s="41">
        <v>0.0017695198478619</v>
      </c>
      <c r="R10" s="41">
        <v>0.0044457631127895</v>
      </c>
      <c r="S10" s="41">
        <v>0.007261645531534</v>
      </c>
      <c r="T10" s="41">
        <v>0.0010459037656749</v>
      </c>
    </row>
    <row r="11">
      <c r="A11" s="41">
        <v>4880.0</v>
      </c>
      <c r="B11" s="41">
        <v>296.820933922</v>
      </c>
      <c r="C11" s="41">
        <v>0.0035020860214456</v>
      </c>
      <c r="D11" s="41">
        <v>0.0035009661315889</v>
      </c>
      <c r="E11" s="41">
        <v>0.0057035162294759</v>
      </c>
      <c r="F11" s="41">
        <v>8.23648213E-4</v>
      </c>
      <c r="H11" s="41">
        <v>5563.0</v>
      </c>
      <c r="I11" s="41">
        <v>270.755568098999</v>
      </c>
      <c r="J11" s="41">
        <v>0.0031586805933239</v>
      </c>
      <c r="K11" s="41">
        <v>0.0031935093421006</v>
      </c>
      <c r="L11" s="41">
        <v>0.005100009357782</v>
      </c>
      <c r="M11" s="41">
        <v>7.512795254166E-4</v>
      </c>
      <c r="O11" s="41">
        <v>5911.0</v>
      </c>
      <c r="P11" s="41">
        <v>343.924636181</v>
      </c>
      <c r="Q11" s="41">
        <v>0.001613758103569</v>
      </c>
      <c r="R11" s="41">
        <v>0.0040563569317458</v>
      </c>
      <c r="S11" s="41">
        <v>0.00662002890713</v>
      </c>
      <c r="T11" s="41">
        <v>9.543179782361E-4</v>
      </c>
    </row>
    <row r="12">
      <c r="A12" s="41">
        <v>5694.0</v>
      </c>
      <c r="B12" s="41">
        <v>360.472095203999</v>
      </c>
      <c r="C12" s="41">
        <v>0.004255443504024</v>
      </c>
      <c r="D12" s="41">
        <v>0.0042511639724215</v>
      </c>
      <c r="E12" s="41">
        <v>0.006934061658356</v>
      </c>
      <c r="F12" s="41">
        <v>0.0010001241429249</v>
      </c>
      <c r="H12" s="41">
        <v>6391.0</v>
      </c>
      <c r="I12" s="41">
        <v>324.601673866</v>
      </c>
      <c r="J12" s="41">
        <v>0.0037934736062322</v>
      </c>
      <c r="K12" s="41">
        <v>0.003828470838386</v>
      </c>
      <c r="L12" s="41">
        <v>0.006133363795576</v>
      </c>
      <c r="M12" s="41">
        <v>9.006765721055E-4</v>
      </c>
      <c r="O12" s="41">
        <v>5808.0</v>
      </c>
      <c r="P12" s="41">
        <v>333.937616535999</v>
      </c>
      <c r="Q12" s="41">
        <v>0.001567676653846</v>
      </c>
      <c r="R12" s="41">
        <v>0.0039385664377465</v>
      </c>
      <c r="S12" s="41">
        <v>0.0064334295911839</v>
      </c>
      <c r="T12" s="41">
        <v>9.265888095027E-4</v>
      </c>
    </row>
    <row r="13">
      <c r="A13" s="41">
        <v>5838.0</v>
      </c>
      <c r="B13" s="41">
        <v>358.601564230999</v>
      </c>
      <c r="C13" s="41">
        <v>0.0042352613213711</v>
      </c>
      <c r="D13" s="41">
        <v>0.0042302340408423</v>
      </c>
      <c r="E13" s="41">
        <v>0.0069020994105639</v>
      </c>
      <c r="F13" s="41">
        <v>9.952251767694E-4</v>
      </c>
      <c r="H13" s="41">
        <v>5210.0</v>
      </c>
      <c r="I13" s="41">
        <v>229.182895546</v>
      </c>
      <c r="J13" s="41">
        <v>0.0026747142428884</v>
      </c>
      <c r="K13" s="41">
        <v>0.0027031536455513</v>
      </c>
      <c r="L13" s="41">
        <v>0.004319888455908</v>
      </c>
      <c r="M13" s="41">
        <v>6.359312966083E-4</v>
      </c>
      <c r="O13" s="41">
        <v>6657.0</v>
      </c>
      <c r="P13" s="41">
        <v>387.405999257999</v>
      </c>
      <c r="Q13" s="41">
        <v>0.0018186150965441</v>
      </c>
      <c r="R13" s="41">
        <v>0.0045693325577</v>
      </c>
      <c r="S13" s="41">
        <v>0.0074628634702859</v>
      </c>
      <c r="T13" s="41">
        <v>0.0010749564618777</v>
      </c>
    </row>
    <row r="14">
      <c r="A14" s="41">
        <v>6180.0</v>
      </c>
      <c r="B14" s="41">
        <v>400.696851017999</v>
      </c>
      <c r="C14" s="41">
        <v>0.0047348336001411</v>
      </c>
      <c r="D14" s="41">
        <v>0.0047261052766437</v>
      </c>
      <c r="E14" s="41">
        <v>0.00772010200941</v>
      </c>
      <c r="F14" s="41">
        <v>0.0011118633318361</v>
      </c>
      <c r="H14" s="41">
        <v>5585.0</v>
      </c>
      <c r="I14" s="41">
        <v>267.295063124</v>
      </c>
      <c r="J14" s="41">
        <v>0.003122673232259</v>
      </c>
      <c r="K14" s="41">
        <v>0.0031529566645111</v>
      </c>
      <c r="L14" s="41">
        <v>0.005046965426458</v>
      </c>
      <c r="M14" s="41">
        <v>7.417700095305E-4</v>
      </c>
      <c r="O14" s="41">
        <v>5945.0</v>
      </c>
      <c r="P14" s="41">
        <v>346.719415004</v>
      </c>
      <c r="Q14" s="41">
        <v>0.0016280145861434</v>
      </c>
      <c r="R14" s="41">
        <v>0.0040892565002006</v>
      </c>
      <c r="S14" s="41">
        <v>0.006682157012388</v>
      </c>
      <c r="T14" s="41">
        <v>9.62039859075E-4</v>
      </c>
    </row>
    <row r="15">
      <c r="A15" s="41">
        <v>5671.0</v>
      </c>
      <c r="B15" s="41">
        <v>318.279192499</v>
      </c>
      <c r="C15" s="41">
        <v>0.0037565067721521</v>
      </c>
      <c r="D15" s="41">
        <v>0.0037540960798687</v>
      </c>
      <c r="E15" s="41">
        <v>0.006119355728814</v>
      </c>
      <c r="F15" s="41">
        <v>8.832058470166E-4</v>
      </c>
      <c r="H15" s="41">
        <v>6899.0</v>
      </c>
      <c r="I15" s="41">
        <v>319.813262968999</v>
      </c>
      <c r="J15" s="41">
        <v>0.003740299227312</v>
      </c>
      <c r="K15" s="41">
        <v>0.0037722797956416</v>
      </c>
      <c r="L15" s="41">
        <v>0.006050494284836</v>
      </c>
      <c r="M15" s="41">
        <v>8.874736998083E-4</v>
      </c>
      <c r="O15" s="41">
        <v>8195.0</v>
      </c>
      <c r="P15" s="41">
        <v>482.456748630999</v>
      </c>
      <c r="Q15" s="41">
        <v>0.0022662550698676</v>
      </c>
      <c r="R15" s="41">
        <v>0.0056899938355257</v>
      </c>
      <c r="S15" s="41">
        <v>0.0093047660549179</v>
      </c>
      <c r="T15" s="41">
        <v>0.0013386307418722</v>
      </c>
    </row>
    <row r="16">
      <c r="A16" s="41">
        <v>3814.0</v>
      </c>
      <c r="B16" s="41">
        <v>187.526167209999</v>
      </c>
      <c r="C16" s="41">
        <v>0.0022104599877411</v>
      </c>
      <c r="D16" s="41">
        <v>0.0022117254214222</v>
      </c>
      <c r="E16" s="41">
        <v>0.0035975295446879</v>
      </c>
      <c r="F16" s="41">
        <v>5.203386675333E-4</v>
      </c>
      <c r="H16" s="41">
        <v>5520.0</v>
      </c>
      <c r="I16" s="41">
        <v>248.196774673999</v>
      </c>
      <c r="J16" s="41">
        <v>0.0028992970593499</v>
      </c>
      <c r="K16" s="41">
        <v>0.0029273236562583</v>
      </c>
      <c r="L16" s="41">
        <v>0.004686066804406</v>
      </c>
      <c r="M16" s="41">
        <v>6.886698845472E-4</v>
      </c>
      <c r="O16" s="41">
        <v>6712.0</v>
      </c>
      <c r="P16" s="41">
        <v>389.715659620999</v>
      </c>
      <c r="Q16" s="41">
        <v>0.0018283549089448</v>
      </c>
      <c r="R16" s="41">
        <v>0.0045959354631583</v>
      </c>
      <c r="S16" s="41">
        <v>0.007500193777928</v>
      </c>
      <c r="T16" s="41">
        <v>0.0010812201841277</v>
      </c>
    </row>
    <row r="17">
      <c r="A17" s="41">
        <v>6125.0</v>
      </c>
      <c r="B17" s="41">
        <v>377.548827962999</v>
      </c>
      <c r="C17" s="41">
        <v>0.0044539028343943</v>
      </c>
      <c r="D17" s="41">
        <v>0.0044530926723993</v>
      </c>
      <c r="E17" s="41">
        <v>0.0072528883023059</v>
      </c>
      <c r="F17" s="41">
        <v>0.0010476518355666</v>
      </c>
      <c r="H17" s="41">
        <v>5652.0</v>
      </c>
      <c r="I17" s="41">
        <v>246.775569794</v>
      </c>
      <c r="J17" s="41">
        <v>0.0028820570190466</v>
      </c>
      <c r="K17" s="41">
        <v>0.0029108504187777</v>
      </c>
      <c r="L17" s="41">
        <v>0.0046570531700839</v>
      </c>
      <c r="M17" s="41">
        <v>6.847903575222E-4</v>
      </c>
      <c r="O17" s="41">
        <v>6989.0</v>
      </c>
      <c r="P17" s="41">
        <v>395.932699442999</v>
      </c>
      <c r="Q17" s="41">
        <v>0.0018592849740606</v>
      </c>
      <c r="R17" s="41">
        <v>0.0046696672751353</v>
      </c>
      <c r="S17" s="41">
        <v>0.0076320016611519</v>
      </c>
      <c r="T17" s="41">
        <v>0.0010986001604749</v>
      </c>
    </row>
    <row r="18">
      <c r="A18" s="41">
        <v>5274.0</v>
      </c>
      <c r="B18" s="41">
        <v>294.384618598999</v>
      </c>
      <c r="C18" s="41">
        <v>0.0034739774010539</v>
      </c>
      <c r="D18" s="41">
        <v>0.003472249138584</v>
      </c>
      <c r="E18" s="41">
        <v>0.005658500637908</v>
      </c>
      <c r="F18" s="41">
        <v>8.168925075027E-4</v>
      </c>
      <c r="H18" s="41">
        <v>6311.0</v>
      </c>
      <c r="I18" s="41">
        <v>288.07276454</v>
      </c>
      <c r="J18" s="41">
        <v>0.0033680135422861</v>
      </c>
      <c r="K18" s="41">
        <v>0.0033980776302014</v>
      </c>
      <c r="L18" s="41">
        <v>0.0054466893573479</v>
      </c>
      <c r="M18" s="41">
        <v>7.994505931833E-4</v>
      </c>
      <c r="O18" s="41">
        <v>7381.0</v>
      </c>
      <c r="P18" s="41">
        <v>426.362443028</v>
      </c>
      <c r="Q18" s="41">
        <v>0.0020018775922234</v>
      </c>
      <c r="R18" s="41">
        <v>0.0050285344749992</v>
      </c>
      <c r="S18" s="41">
        <v>0.0082164257398019</v>
      </c>
      <c r="T18" s="41">
        <v>0.0011830047334583</v>
      </c>
    </row>
    <row r="19">
      <c r="A19" s="41">
        <v>5025.0</v>
      </c>
      <c r="B19" s="41">
        <v>288.749648616999</v>
      </c>
      <c r="C19" s="41">
        <v>0.0034096001201596</v>
      </c>
      <c r="D19" s="41">
        <v>0.0034056784708999</v>
      </c>
      <c r="E19" s="41">
        <v>0.005556392778444</v>
      </c>
      <c r="F19" s="41">
        <v>8.012283957611E-4</v>
      </c>
      <c r="H19" s="41">
        <v>5883.0</v>
      </c>
      <c r="I19" s="41">
        <v>278.48912284</v>
      </c>
      <c r="J19" s="41">
        <v>0.0032527599458734</v>
      </c>
      <c r="K19" s="41">
        <v>0.003284693009627</v>
      </c>
      <c r="L19" s="41">
        <v>0.005256725594266</v>
      </c>
      <c r="M19" s="41">
        <v>7.727733558583E-4</v>
      </c>
      <c r="O19" s="41">
        <v>7016.0</v>
      </c>
      <c r="P19" s="41">
        <v>413.69746044</v>
      </c>
      <c r="Q19" s="41">
        <v>0.0019423041802248</v>
      </c>
      <c r="R19" s="41">
        <v>0.0048789999726701</v>
      </c>
      <c r="S19" s="41">
        <v>0.0079717977663219</v>
      </c>
      <c r="T19" s="41">
        <v>0.0011478087392472</v>
      </c>
    </row>
    <row r="20">
      <c r="A20" s="41">
        <v>5350.0</v>
      </c>
      <c r="B20" s="41">
        <v>326.439352071</v>
      </c>
      <c r="C20" s="41">
        <v>0.003852118171596</v>
      </c>
      <c r="D20" s="41">
        <v>0.003849233365393</v>
      </c>
      <c r="E20" s="41">
        <v>0.0062756222427159</v>
      </c>
      <c r="F20" s="41">
        <v>9.055827577499E-4</v>
      </c>
      <c r="H20" s="41">
        <v>5826.0</v>
      </c>
      <c r="I20" s="41">
        <v>274.054230974999</v>
      </c>
      <c r="J20" s="41">
        <v>0.0032020077672787</v>
      </c>
      <c r="K20" s="41">
        <v>0.0032320258300041</v>
      </c>
      <c r="L20" s="41">
        <v>0.005176457752274</v>
      </c>
      <c r="M20" s="41">
        <v>7.603808581749E-4</v>
      </c>
      <c r="O20" s="41">
        <v>6379.0</v>
      </c>
      <c r="P20" s="41">
        <v>366.346414056</v>
      </c>
      <c r="Q20" s="41">
        <v>0.0017188478628046</v>
      </c>
      <c r="R20" s="41">
        <v>0.0043207560398819</v>
      </c>
      <c r="S20" s="41">
        <v>0.0070508592517939</v>
      </c>
      <c r="T20" s="41">
        <v>0.0010164931582472</v>
      </c>
    </row>
    <row r="21">
      <c r="A21" s="41">
        <v>5186.0</v>
      </c>
      <c r="B21" s="41">
        <v>292.395010858</v>
      </c>
      <c r="C21" s="41">
        <v>0.0034490149869358</v>
      </c>
      <c r="D21" s="41">
        <v>0.0034488433349618</v>
      </c>
      <c r="E21" s="41">
        <v>0.0056159675483259</v>
      </c>
      <c r="F21" s="41">
        <v>8.113521889777E-4</v>
      </c>
      <c r="H21" s="41">
        <v>6624.0</v>
      </c>
      <c r="I21" s="41">
        <v>312.315051806</v>
      </c>
      <c r="J21" s="41">
        <v>0.0036453768341674</v>
      </c>
      <c r="K21" s="41">
        <v>0.0036836910496708</v>
      </c>
      <c r="L21" s="41">
        <v>0.0058881349882819</v>
      </c>
      <c r="M21" s="41">
        <v>8.666139834638E-4</v>
      </c>
      <c r="O21" s="41">
        <v>7720.0</v>
      </c>
      <c r="P21" s="41">
        <v>453.885776229999</v>
      </c>
      <c r="Q21" s="41">
        <v>0.0021315038937597</v>
      </c>
      <c r="R21" s="41">
        <v>0.005352654239759</v>
      </c>
      <c r="S21" s="41">
        <v>0.008750310611354</v>
      </c>
      <c r="T21" s="41">
        <v>0.0012592448992277</v>
      </c>
    </row>
    <row r="22">
      <c r="A22" s="41">
        <v>6622.0</v>
      </c>
      <c r="B22" s="41">
        <v>433.033154312</v>
      </c>
      <c r="C22" s="41">
        <v>0.0051114557523383</v>
      </c>
      <c r="D22" s="41">
        <v>0.0051072698899638</v>
      </c>
      <c r="E22" s="41">
        <v>0.008327688328812</v>
      </c>
      <c r="F22" s="41">
        <v>0.0012015599575666</v>
      </c>
      <c r="H22" s="41">
        <v>6075.0</v>
      </c>
      <c r="I22" s="41">
        <v>289.638674663</v>
      </c>
      <c r="J22" s="41">
        <v>0.0033816147058625</v>
      </c>
      <c r="K22" s="41">
        <v>0.0034160563738576</v>
      </c>
      <c r="L22" s="41">
        <v>0.0054634379818579</v>
      </c>
      <c r="M22" s="41">
        <v>8.036697967083E-4</v>
      </c>
      <c r="O22" s="41">
        <v>6443.0</v>
      </c>
      <c r="P22" s="41">
        <v>370.099220714</v>
      </c>
      <c r="Q22" s="41">
        <v>0.0017378550016859</v>
      </c>
      <c r="R22" s="41">
        <v>0.0043648061541993</v>
      </c>
      <c r="S22" s="41">
        <v>0.0071334751512199</v>
      </c>
      <c r="T22" s="41">
        <v>0.0010268157069472</v>
      </c>
    </row>
    <row r="23">
      <c r="A23" s="41">
        <v>4069.0</v>
      </c>
      <c r="B23" s="41">
        <v>219.488223932</v>
      </c>
      <c r="C23" s="41">
        <v>0.002584164050385</v>
      </c>
      <c r="D23" s="41">
        <v>0.0025882984806944</v>
      </c>
      <c r="E23" s="41">
        <v>0.004202458639742</v>
      </c>
      <c r="F23" s="41">
        <v>6.089281995055E-4</v>
      </c>
      <c r="H23" s="41">
        <v>5565.0</v>
      </c>
      <c r="I23" s="41">
        <v>257.074221091999</v>
      </c>
      <c r="J23" s="41">
        <v>0.0029991440579579</v>
      </c>
      <c r="K23" s="41">
        <v>0.003032193496584</v>
      </c>
      <c r="L23" s="41">
        <v>0.0048424169294859</v>
      </c>
      <c r="M23" s="41">
        <v>7.133591553333E-4</v>
      </c>
      <c r="O23" s="41">
        <v>6248.0</v>
      </c>
      <c r="P23" s="41">
        <v>357.518566689999</v>
      </c>
      <c r="Q23" s="41">
        <v>0.0016784579468963</v>
      </c>
      <c r="R23" s="41">
        <v>0.0042169065418464</v>
      </c>
      <c r="S23" s="41">
        <v>0.006888050232658</v>
      </c>
      <c r="T23" s="41">
        <v>9.920528124055E-4</v>
      </c>
    </row>
    <row r="24">
      <c r="A24" s="41">
        <v>4580.0</v>
      </c>
      <c r="B24" s="41">
        <v>265.410182558999</v>
      </c>
      <c r="C24" s="41">
        <v>0.0031285170146277</v>
      </c>
      <c r="D24" s="41">
        <v>0.0031301998807263</v>
      </c>
      <c r="E24" s="41">
        <v>0.005091818517896</v>
      </c>
      <c r="F24" s="41">
        <v>7.364072179249E-4</v>
      </c>
      <c r="H24" s="41">
        <v>6042.0</v>
      </c>
      <c r="I24" s="41">
        <v>293.965813962</v>
      </c>
      <c r="J24" s="41">
        <v>0.0034314865641841</v>
      </c>
      <c r="K24" s="41">
        <v>0.0034674355682784</v>
      </c>
      <c r="L24" s="41">
        <v>0.00554278637867</v>
      </c>
      <c r="M24" s="41">
        <v>8.157489509861E-4</v>
      </c>
      <c r="O24" s="41">
        <v>5745.0</v>
      </c>
      <c r="P24" s="41">
        <v>319.797358531001</v>
      </c>
      <c r="Q24" s="41">
        <v>0.0015006681165326</v>
      </c>
      <c r="R24" s="41">
        <v>0.0037711892837617</v>
      </c>
      <c r="S24" s="41">
        <v>0.006157244648014</v>
      </c>
      <c r="T24" s="41">
        <v>8.87205879775E-4</v>
      </c>
    </row>
    <row r="25">
      <c r="A25" s="41">
        <v>5543.0</v>
      </c>
      <c r="B25" s="41">
        <v>335.219725585999</v>
      </c>
      <c r="C25" s="41">
        <v>0.0039530975429075</v>
      </c>
      <c r="D25" s="41">
        <v>0.0039534199658137</v>
      </c>
      <c r="E25" s="41">
        <v>0.006436061815512</v>
      </c>
      <c r="F25" s="41">
        <v>9.301083399721E-4</v>
      </c>
      <c r="H25" s="41">
        <v>6310.0</v>
      </c>
      <c r="I25" s="41">
        <v>299.515705525</v>
      </c>
      <c r="J25" s="41">
        <v>0.0034987307842721</v>
      </c>
      <c r="K25" s="41">
        <v>0.0035325950157416</v>
      </c>
      <c r="L25" s="41">
        <v>0.0056548378572</v>
      </c>
      <c r="M25" s="41">
        <v>8.310900683361E-4</v>
      </c>
      <c r="O25" s="41">
        <v>7259.0</v>
      </c>
      <c r="P25" s="41">
        <v>429.538291498</v>
      </c>
      <c r="Q25" s="41">
        <v>0.0020109283989472</v>
      </c>
      <c r="R25" s="41">
        <v>0.0050655373364881</v>
      </c>
      <c r="S25" s="41">
        <v>0.0082359771443319</v>
      </c>
      <c r="T25" s="41">
        <v>0.0011916815897972</v>
      </c>
    </row>
    <row r="26">
      <c r="A26" s="41">
        <v>5433.0</v>
      </c>
      <c r="B26" s="41">
        <v>320.482977525</v>
      </c>
      <c r="C26" s="41">
        <v>0.0037798657744696</v>
      </c>
      <c r="D26" s="41">
        <v>0.0037789605368167</v>
      </c>
      <c r="E26" s="41">
        <v>0.006155565757782</v>
      </c>
      <c r="F26" s="41">
        <v>8.890192456027E-4</v>
      </c>
      <c r="H26" s="41">
        <v>5865.0</v>
      </c>
      <c r="I26" s="41">
        <v>267.097538360999</v>
      </c>
      <c r="J26" s="41">
        <v>0.0031132371245667</v>
      </c>
      <c r="K26" s="41">
        <v>0.0031502372481423</v>
      </c>
      <c r="L26" s="41">
        <v>0.005023296518634</v>
      </c>
      <c r="M26" s="41">
        <v>7.4113828925E-4</v>
      </c>
      <c r="O26" s="41">
        <v>6458.0</v>
      </c>
      <c r="P26" s="41">
        <v>348.006102009998</v>
      </c>
      <c r="Q26" s="41">
        <v>0.0016345275823218</v>
      </c>
      <c r="R26" s="41">
        <v>0.0041044691187957</v>
      </c>
      <c r="S26" s="41">
        <v>0.006710305090462</v>
      </c>
      <c r="T26" s="41">
        <v>9.656197350638E-4</v>
      </c>
    </row>
    <row r="27">
      <c r="A27" s="41">
        <v>5126.0</v>
      </c>
      <c r="B27" s="41">
        <v>292.170807466</v>
      </c>
      <c r="C27" s="41">
        <v>0.0034439187080825</v>
      </c>
      <c r="D27" s="41">
        <v>0.00344590493255</v>
      </c>
      <c r="E27" s="41">
        <v>0.005604971706196</v>
      </c>
      <c r="F27" s="41">
        <v>8.106933739916E-4</v>
      </c>
      <c r="H27" s="41">
        <v>5282.0</v>
      </c>
      <c r="I27" s="41">
        <v>224.599142262</v>
      </c>
      <c r="J27" s="41">
        <v>0.0026201372142929</v>
      </c>
      <c r="K27" s="41">
        <v>0.0026491946480291</v>
      </c>
      <c r="L27" s="41">
        <v>0.004230236995298</v>
      </c>
      <c r="M27" s="41">
        <v>6.232618787611E-4</v>
      </c>
      <c r="O27" s="41">
        <v>6368.0</v>
      </c>
      <c r="P27" s="41">
        <v>337.151541113999</v>
      </c>
      <c r="Q27" s="41">
        <v>0.0015833935830893</v>
      </c>
      <c r="R27" s="41">
        <v>0.0039763966992228</v>
      </c>
      <c r="S27" s="41">
        <v>0.0064999721444179</v>
      </c>
      <c r="T27" s="41">
        <v>9.354913044805E-4</v>
      </c>
    </row>
    <row r="28">
      <c r="A28" s="41">
        <v>4345.0</v>
      </c>
      <c r="B28" s="41">
        <v>254.3004017</v>
      </c>
      <c r="C28" s="41">
        <v>0.0029962360863875</v>
      </c>
      <c r="D28" s="41">
        <v>0.0029993897567986</v>
      </c>
      <c r="E28" s="41">
        <v>0.0048746102885739</v>
      </c>
      <c r="F28" s="41">
        <v>7.056426364527E-4</v>
      </c>
      <c r="H28" s="41">
        <v>4930.0</v>
      </c>
      <c r="I28" s="41">
        <v>228.099022631</v>
      </c>
      <c r="J28" s="41">
        <v>0.0026613410133409</v>
      </c>
      <c r="K28" s="41">
        <v>0.0026902461289819</v>
      </c>
      <c r="L28" s="41">
        <v>0.0042975134380079</v>
      </c>
      <c r="M28" s="41">
        <v>6.329199424416E-4</v>
      </c>
      <c r="O28" s="41">
        <v>6547.0</v>
      </c>
      <c r="P28" s="41">
        <v>386.431114164999</v>
      </c>
      <c r="Q28" s="41">
        <v>0.0018150231335535</v>
      </c>
      <c r="R28" s="41">
        <v>0.0045575625770055</v>
      </c>
      <c r="S28" s="41">
        <v>0.0074514695722819</v>
      </c>
      <c r="T28" s="41">
        <v>0.0010722322861194</v>
      </c>
    </row>
    <row r="29">
      <c r="A29" s="41">
        <v>3828.0</v>
      </c>
      <c r="B29" s="41">
        <v>214.925530078999</v>
      </c>
      <c r="C29" s="41">
        <v>0.0025287506465359</v>
      </c>
      <c r="D29" s="41">
        <v>0.0025348870927798</v>
      </c>
      <c r="E29" s="41">
        <v>0.004109756898914</v>
      </c>
      <c r="F29" s="41">
        <v>5.963665138805E-4</v>
      </c>
      <c r="H29" s="41">
        <v>5191.0</v>
      </c>
      <c r="I29" s="41">
        <v>251.023157071998</v>
      </c>
      <c r="J29" s="41">
        <v>0.0029196111829007</v>
      </c>
      <c r="K29" s="41">
        <v>0.0029608722593312</v>
      </c>
      <c r="L29" s="41">
        <v>0.0047027804288879</v>
      </c>
      <c r="M29" s="41">
        <v>6.96576611786E-4</v>
      </c>
      <c r="O29" s="41">
        <v>6149.0</v>
      </c>
      <c r="P29" s="41">
        <v>361.235226969</v>
      </c>
      <c r="Q29" s="41">
        <v>0.0016960025806277</v>
      </c>
      <c r="R29" s="41">
        <v>0.0042601052794944</v>
      </c>
      <c r="S29" s="41">
        <v>0.0069611130688859</v>
      </c>
      <c r="T29" s="41">
        <v>0.0010022392099194</v>
      </c>
    </row>
    <row r="30">
      <c r="A30" s="41">
        <v>5122.0</v>
      </c>
      <c r="B30" s="41">
        <v>316.981682333</v>
      </c>
      <c r="C30" s="41">
        <v>0.0037353793770711</v>
      </c>
      <c r="D30" s="41">
        <v>0.0037377057516832</v>
      </c>
      <c r="E30" s="41">
        <v>0.006079120418848</v>
      </c>
      <c r="F30" s="41">
        <v>8.793337488861E-4</v>
      </c>
      <c r="H30" s="41">
        <v>6107.0</v>
      </c>
      <c r="I30" s="41">
        <v>300.971801297</v>
      </c>
      <c r="J30" s="41">
        <v>0.0035182759451994</v>
      </c>
      <c r="K30" s="41">
        <v>0.0035500019406097</v>
      </c>
      <c r="L30" s="41">
        <v>0.005689336218132</v>
      </c>
      <c r="M30" s="41">
        <v>8.351518332222E-4</v>
      </c>
      <c r="O30" s="41">
        <v>6504.0</v>
      </c>
      <c r="P30" s="41">
        <v>381.057764020999</v>
      </c>
      <c r="Q30" s="41">
        <v>0.0017899722065987</v>
      </c>
      <c r="R30" s="41">
        <v>0.0044942055592646</v>
      </c>
      <c r="S30" s="41">
        <v>0.007349188657124</v>
      </c>
      <c r="T30" s="41">
        <v>0.00105732276825</v>
      </c>
    </row>
    <row r="31">
      <c r="A31" s="41">
        <v>4993.0</v>
      </c>
      <c r="B31" s="41">
        <v>294.837952986999</v>
      </c>
      <c r="C31" s="41">
        <v>0.0034756632334485</v>
      </c>
      <c r="D31" s="41">
        <v>0.0034776806872937</v>
      </c>
      <c r="E31" s="41">
        <v>0.005656628414188</v>
      </c>
      <c r="F31" s="41">
        <v>8.181605189277E-4</v>
      </c>
      <c r="H31" s="41">
        <v>5904.0</v>
      </c>
      <c r="I31" s="41">
        <v>277.639732596</v>
      </c>
      <c r="J31" s="41">
        <v>0.0032407598837056</v>
      </c>
      <c r="K31" s="41">
        <v>0.0032747161084069</v>
      </c>
      <c r="L31" s="41">
        <v>0.005234716409992</v>
      </c>
      <c r="M31" s="41">
        <v>7.703975811416E-4</v>
      </c>
      <c r="O31" s="41">
        <v>7212.0</v>
      </c>
      <c r="P31" s="41">
        <v>422.680211076</v>
      </c>
      <c r="Q31" s="41">
        <v>0.0019855701930331</v>
      </c>
      <c r="R31" s="41">
        <v>0.0049847314252117</v>
      </c>
      <c r="S31" s="41">
        <v>0.00815299402239</v>
      </c>
      <c r="T31" s="41">
        <v>0.0011727085463027</v>
      </c>
    </row>
    <row r="32">
      <c r="A32" s="41">
        <v>4776.0</v>
      </c>
      <c r="B32" s="41">
        <v>278.394891964</v>
      </c>
      <c r="C32" s="41">
        <v>0.0032809424093196</v>
      </c>
      <c r="D32" s="41">
        <v>0.0032836782145194</v>
      </c>
      <c r="E32" s="41">
        <v>0.0053386984376219</v>
      </c>
      <c r="F32" s="41">
        <v>7.725150453111E-4</v>
      </c>
      <c r="H32" s="41">
        <v>5769.0</v>
      </c>
      <c r="I32" s="41">
        <v>272.233203001</v>
      </c>
      <c r="J32" s="41">
        <v>0.0031734626956013</v>
      </c>
      <c r="K32" s="41">
        <v>0.0032107909858465</v>
      </c>
      <c r="L32" s="41">
        <v>0.0051209727078859</v>
      </c>
      <c r="M32" s="41">
        <v>7.553626899527E-4</v>
      </c>
      <c r="O32" s="41">
        <v>6555.0</v>
      </c>
      <c r="P32" s="41">
        <v>372.763858842001</v>
      </c>
      <c r="Q32" s="41">
        <v>0.001751042899531</v>
      </c>
      <c r="R32" s="41">
        <v>0.0043965735962028</v>
      </c>
      <c r="S32" s="41">
        <v>0.007189239918054</v>
      </c>
      <c r="T32" s="41">
        <v>0.0010343315313111</v>
      </c>
    </row>
    <row r="33">
      <c r="A33" s="41">
        <v>5443.0</v>
      </c>
      <c r="B33" s="41">
        <v>325.900774992</v>
      </c>
      <c r="C33" s="41">
        <v>0.0038416708403705</v>
      </c>
      <c r="D33" s="41">
        <v>0.0038438224493473</v>
      </c>
      <c r="E33" s="41">
        <v>0.0062523852796819</v>
      </c>
      <c r="F33" s="41">
        <v>9.0431498055E-4</v>
      </c>
      <c r="H33" s="41">
        <v>6354.0</v>
      </c>
      <c r="I33" s="41">
        <v>301.232062070001</v>
      </c>
      <c r="J33" s="41">
        <v>0.0035168091014277</v>
      </c>
      <c r="K33" s="41">
        <v>0.003552634501818</v>
      </c>
      <c r="L33" s="41">
        <v>0.005681873434384</v>
      </c>
      <c r="M33" s="41">
        <v>8.357817874694E-4</v>
      </c>
      <c r="O33" s="41">
        <v>6948.0</v>
      </c>
      <c r="P33" s="41">
        <v>392.977013591</v>
      </c>
      <c r="Q33" s="41">
        <v>0.0018460162447405</v>
      </c>
      <c r="R33" s="41">
        <v>0.004634757622891</v>
      </c>
      <c r="S33" s="41">
        <v>0.0075795316191759</v>
      </c>
      <c r="T33" s="41">
        <v>0.0010903492515638</v>
      </c>
    </row>
    <row r="34">
      <c r="A34" s="41">
        <v>5282.0</v>
      </c>
      <c r="B34" s="41">
        <v>301.996126791</v>
      </c>
      <c r="C34" s="41">
        <v>0.0035582215073876</v>
      </c>
      <c r="D34" s="41">
        <v>0.0035616528623354</v>
      </c>
      <c r="E34" s="41">
        <v>0.0057893165758939</v>
      </c>
      <c r="F34" s="41">
        <v>8.379036131527E-4</v>
      </c>
      <c r="H34" s="41">
        <v>6879.0</v>
      </c>
      <c r="I34" s="41">
        <v>329.989610726001</v>
      </c>
      <c r="J34" s="41">
        <v>0.0038547468018504</v>
      </c>
      <c r="K34" s="41">
        <v>0.0038924362990777</v>
      </c>
      <c r="L34" s="41">
        <v>0.0062297883171599</v>
      </c>
      <c r="M34" s="41">
        <v>9.157407627388E-4</v>
      </c>
      <c r="O34" s="41">
        <v>6323.0</v>
      </c>
      <c r="P34" s="41">
        <v>337.733958077</v>
      </c>
      <c r="Q34" s="41">
        <v>0.0015862091502679</v>
      </c>
      <c r="R34" s="41">
        <v>0.0039829254197396</v>
      </c>
      <c r="S34" s="41">
        <v>0.0065122260431099</v>
      </c>
      <c r="T34" s="41">
        <v>9.37001087125E-4</v>
      </c>
    </row>
    <row r="35">
      <c r="A35" s="41">
        <v>6294.0</v>
      </c>
      <c r="B35" s="41">
        <v>398.456051322</v>
      </c>
      <c r="C35" s="41">
        <v>0.0046981586475027</v>
      </c>
      <c r="D35" s="41">
        <v>0.0046994098298083</v>
      </c>
      <c r="E35" s="41">
        <v>0.0076480755629</v>
      </c>
      <c r="F35" s="41">
        <v>0.0011055674695916</v>
      </c>
      <c r="H35" s="41">
        <v>6528.0</v>
      </c>
      <c r="I35" s="41">
        <v>309.069329854999</v>
      </c>
      <c r="J35" s="41">
        <v>0.0036078899581742</v>
      </c>
      <c r="K35" s="41">
        <v>0.0036449676850132</v>
      </c>
      <c r="L35" s="41">
        <v>0.005828599662876</v>
      </c>
      <c r="M35" s="41">
        <v>8.575299969138E-4</v>
      </c>
      <c r="O35" s="41">
        <v>6522.0</v>
      </c>
      <c r="P35" s="41">
        <v>353.802713961</v>
      </c>
      <c r="Q35" s="41">
        <v>0.0016618731374136</v>
      </c>
      <c r="R35" s="41">
        <v>0.004172611364218</v>
      </c>
      <c r="S35" s="41">
        <v>0.00682319851411</v>
      </c>
      <c r="T35" s="41">
        <v>9.816693982277E-4</v>
      </c>
    </row>
    <row r="36">
      <c r="A36" s="41">
        <v>4619.0</v>
      </c>
      <c r="B36" s="41">
        <v>270.915431526998</v>
      </c>
      <c r="C36" s="41">
        <v>0.0031929008329493</v>
      </c>
      <c r="D36" s="41">
        <v>0.0031952214579534</v>
      </c>
      <c r="E36" s="41">
        <v>0.005195851101122</v>
      </c>
      <c r="F36" s="41">
        <v>7.517144161111E-4</v>
      </c>
      <c r="H36" s="41">
        <v>5725.0</v>
      </c>
      <c r="I36" s="41">
        <v>272.475634433998</v>
      </c>
      <c r="J36" s="41">
        <v>0.0031791210309718</v>
      </c>
      <c r="K36" s="41">
        <v>0.0032135701779103</v>
      </c>
      <c r="L36" s="41">
        <v>0.0051337216069739</v>
      </c>
      <c r="M36" s="41">
        <v>7.560370922805E-4</v>
      </c>
      <c r="O36" s="41">
        <v>6079.0</v>
      </c>
      <c r="P36" s="41">
        <v>346.695866692998</v>
      </c>
      <c r="Q36" s="41">
        <v>0.0016276630948326</v>
      </c>
      <c r="R36" s="41">
        <v>0.0040888287114568</v>
      </c>
      <c r="S36" s="41">
        <v>0.0066801417329979</v>
      </c>
      <c r="T36" s="41">
        <v>9.619496532805E-4</v>
      </c>
    </row>
    <row r="37">
      <c r="A37" s="41">
        <v>6438.0</v>
      </c>
      <c r="B37" s="41">
        <v>402.918006154001</v>
      </c>
      <c r="C37" s="41">
        <v>0.0047520735748672</v>
      </c>
      <c r="D37" s="41">
        <v>0.0047522780595298</v>
      </c>
      <c r="E37" s="41">
        <v>0.0077371220230259</v>
      </c>
      <c r="F37" s="41">
        <v>0.0011180367463833</v>
      </c>
      <c r="H37" s="41">
        <v>5421.0</v>
      </c>
      <c r="I37" s="41">
        <v>229.282066998999</v>
      </c>
      <c r="J37" s="41">
        <v>0.0026735444604148</v>
      </c>
      <c r="K37" s="41">
        <v>0.0027042474689958</v>
      </c>
      <c r="L37" s="41">
        <v>0.0043151767854719</v>
      </c>
      <c r="M37" s="41">
        <v>6.361995024666E-4</v>
      </c>
      <c r="O37" s="41">
        <v>6204.0</v>
      </c>
      <c r="P37" s="41">
        <v>330.598656717</v>
      </c>
      <c r="Q37" s="41">
        <v>0.0015518437872162</v>
      </c>
      <c r="R37" s="41">
        <v>0.0038988019047833</v>
      </c>
      <c r="S37" s="41">
        <v>0.006368455650316</v>
      </c>
      <c r="T37" s="41">
        <v>9.172163878166E-4</v>
      </c>
    </row>
    <row r="38">
      <c r="A38" s="41">
        <v>4627.0</v>
      </c>
      <c r="B38" s="41">
        <v>274.071276967</v>
      </c>
      <c r="C38" s="41">
        <v>0.00322413676411</v>
      </c>
      <c r="D38" s="41">
        <v>0.0032317705522193</v>
      </c>
      <c r="E38" s="41">
        <v>0.005240138080996</v>
      </c>
      <c r="F38" s="41">
        <v>7.603216036055E-4</v>
      </c>
      <c r="H38" s="41">
        <v>5854.0</v>
      </c>
      <c r="I38" s="41">
        <v>289.190096087999</v>
      </c>
      <c r="J38" s="41">
        <v>0.0033501186311544</v>
      </c>
      <c r="K38" s="41">
        <v>0.003410798264543</v>
      </c>
      <c r="L38" s="41">
        <v>0.00537972930378</v>
      </c>
      <c r="M38" s="41">
        <v>8.024484083083E-4</v>
      </c>
      <c r="O38" s="41">
        <v>5877.0</v>
      </c>
      <c r="P38" s="41">
        <v>332.751578307001</v>
      </c>
      <c r="Q38" s="41">
        <v>0.0015626463557469</v>
      </c>
      <c r="R38" s="41">
        <v>0.003924005380052</v>
      </c>
      <c r="S38" s="41">
        <v>0.0064151748543579</v>
      </c>
      <c r="T38" s="41">
        <v>9.231501572305E-4</v>
      </c>
    </row>
    <row r="39">
      <c r="A39" s="41">
        <v>5535.0</v>
      </c>
      <c r="B39" s="41">
        <v>347.787369727</v>
      </c>
      <c r="C39" s="41">
        <v>0.0040956665687561</v>
      </c>
      <c r="D39" s="41">
        <v>0.0041019068562354</v>
      </c>
      <c r="E39" s="41">
        <v>0.006660896717602</v>
      </c>
      <c r="F39" s="41">
        <v>9.650291772166E-4</v>
      </c>
      <c r="H39" s="41">
        <v>5395.0</v>
      </c>
      <c r="I39" s="41">
        <v>250.944563084</v>
      </c>
      <c r="J39" s="41">
        <v>0.002902565996141</v>
      </c>
      <c r="K39" s="41">
        <v>0.0029595564541485</v>
      </c>
      <c r="L39" s="41">
        <v>0.00465559261336</v>
      </c>
      <c r="M39" s="41">
        <v>6.962717916305E-4</v>
      </c>
      <c r="O39" s="41">
        <v>6296.0</v>
      </c>
      <c r="P39" s="41">
        <v>352.702597194998</v>
      </c>
      <c r="Q39" s="41">
        <v>0.0016564211759947</v>
      </c>
      <c r="R39" s="41">
        <v>0.0041594377561638</v>
      </c>
      <c r="S39" s="41">
        <v>0.006800234329072</v>
      </c>
      <c r="T39" s="41">
        <v>9.785137257472E-4</v>
      </c>
    </row>
    <row r="40">
      <c r="A40" s="41">
        <v>7088.0</v>
      </c>
      <c r="B40" s="41">
        <v>481.004824985</v>
      </c>
      <c r="C40" s="41">
        <v>0.0056738538026481</v>
      </c>
      <c r="D40" s="41">
        <v>0.0056724179775138</v>
      </c>
      <c r="E40" s="41">
        <v>0.00924001711423</v>
      </c>
      <c r="F40" s="41">
        <v>0.0013344950072555</v>
      </c>
      <c r="H40" s="41">
        <v>5707.0</v>
      </c>
      <c r="I40" s="41">
        <v>274.827225031</v>
      </c>
      <c r="J40" s="41">
        <v>0.0031802778819478</v>
      </c>
      <c r="K40" s="41">
        <v>0.0032413605223305</v>
      </c>
      <c r="L40" s="41">
        <v>0.0051027329710719</v>
      </c>
      <c r="M40" s="41">
        <v>7.625479958944E-4</v>
      </c>
      <c r="O40" s="41">
        <v>6124.0</v>
      </c>
      <c r="P40" s="41">
        <v>344.162285190999</v>
      </c>
      <c r="Q40" s="41">
        <v>0.0016158455316505</v>
      </c>
      <c r="R40" s="41">
        <v>0.0040584241634791</v>
      </c>
      <c r="S40" s="41">
        <v>0.0066325341949119</v>
      </c>
      <c r="T40" s="41">
        <v>9.547900045555E-4</v>
      </c>
    </row>
    <row r="41">
      <c r="A41" s="41">
        <v>7832.0</v>
      </c>
      <c r="B41" s="41">
        <v>523.931084805</v>
      </c>
      <c r="C41" s="41">
        <v>0.0061811916229973</v>
      </c>
      <c r="D41" s="41">
        <v>0.0061791983399229</v>
      </c>
      <c r="E41" s="41">
        <v>0.010066848886806</v>
      </c>
      <c r="F41" s="41">
        <v>0.0014536312846361</v>
      </c>
      <c r="H41" s="41">
        <v>7102.0</v>
      </c>
      <c r="I41" s="41">
        <v>353.179330675999</v>
      </c>
      <c r="J41" s="41">
        <v>0.0040939697332031</v>
      </c>
      <c r="K41" s="41">
        <v>0.0041657668930089</v>
      </c>
      <c r="L41" s="41">
        <v>0.0065771683172859</v>
      </c>
      <c r="M41" s="41">
        <v>9.800386970916E-4</v>
      </c>
      <c r="O41" s="41">
        <v>6948.0</v>
      </c>
      <c r="P41" s="41">
        <v>385.836437040001</v>
      </c>
      <c r="Q41" s="41">
        <v>0.0018127021116894</v>
      </c>
      <c r="R41" s="41">
        <v>0.0045505302696916</v>
      </c>
      <c r="S41" s="41">
        <v>0.007443460399208</v>
      </c>
      <c r="T41" s="41">
        <v>0.0010705456597388</v>
      </c>
    </row>
    <row r="42">
      <c r="A42" s="41">
        <v>6571.0</v>
      </c>
      <c r="B42" s="41">
        <v>434.258689922999</v>
      </c>
      <c r="C42" s="41">
        <v>0.0051195152228161</v>
      </c>
      <c r="D42" s="41">
        <v>0.0051209270345666</v>
      </c>
      <c r="E42" s="41">
        <v>0.0083339019448939</v>
      </c>
      <c r="F42" s="41">
        <v>0.00120476727715</v>
      </c>
      <c r="H42" s="41">
        <v>6226.0</v>
      </c>
      <c r="I42" s="41">
        <v>309.641619991</v>
      </c>
      <c r="J42" s="41">
        <v>0.0035820016995653</v>
      </c>
      <c r="K42" s="41">
        <v>0.0036522131149167</v>
      </c>
      <c r="L42" s="41">
        <v>0.005745560152</v>
      </c>
      <c r="M42" s="41">
        <v>8.591937349777E-4</v>
      </c>
      <c r="O42" s="41">
        <v>6033.0</v>
      </c>
      <c r="P42" s="41">
        <v>330.234011475</v>
      </c>
      <c r="Q42" s="41">
        <v>0.0015503597243815</v>
      </c>
      <c r="R42" s="41">
        <v>0.0038942600823228</v>
      </c>
      <c r="S42" s="41">
        <v>0.00636334675734</v>
      </c>
      <c r="T42" s="41">
        <v>9.161711413E-4</v>
      </c>
    </row>
    <row r="43">
      <c r="A43" s="41">
        <v>6704.0</v>
      </c>
      <c r="B43" s="41">
        <v>430.992250409</v>
      </c>
      <c r="C43" s="41">
        <v>0.0050811962940143</v>
      </c>
      <c r="D43" s="41">
        <v>0.0050832501457207</v>
      </c>
      <c r="E43" s="41">
        <v>0.008270718561014</v>
      </c>
      <c r="F43" s="41">
        <v>0.0011959023120805</v>
      </c>
      <c r="H43" s="41">
        <v>5748.0</v>
      </c>
      <c r="I43" s="41">
        <v>261.969823712999</v>
      </c>
      <c r="J43" s="41">
        <v>0.0030285752132158</v>
      </c>
      <c r="K43" s="41">
        <v>0.0030895447896943</v>
      </c>
      <c r="L43" s="41">
        <v>0.004855856106904</v>
      </c>
      <c r="M43" s="41">
        <v>7.268440184388E-4</v>
      </c>
      <c r="O43" s="41">
        <v>7004.0</v>
      </c>
      <c r="P43" s="41">
        <v>394.036509814999</v>
      </c>
      <c r="Q43" s="41">
        <v>0.0018512942461363</v>
      </c>
      <c r="R43" s="41">
        <v>0.0046473862198701</v>
      </c>
      <c r="S43" s="41">
        <v>0.007601908303744</v>
      </c>
      <c r="T43" s="41">
        <v>0.0010933836680638</v>
      </c>
    </row>
    <row r="44">
      <c r="A44" s="41">
        <v>6245.0</v>
      </c>
      <c r="B44" s="41">
        <v>410.589130850001</v>
      </c>
      <c r="C44" s="41">
        <v>0.0048378663896334</v>
      </c>
      <c r="D44" s="41">
        <v>0.0048425354474187</v>
      </c>
      <c r="E44" s="41">
        <v>0.0078712801859079</v>
      </c>
      <c r="F44" s="41">
        <v>0.0011392866485805</v>
      </c>
      <c r="H44" s="41">
        <v>6300.0</v>
      </c>
      <c r="I44" s="41">
        <v>316.90100981</v>
      </c>
      <c r="J44" s="41">
        <v>0.0036724146318668</v>
      </c>
      <c r="K44" s="41">
        <v>0.0037373244799097</v>
      </c>
      <c r="L44" s="41">
        <v>0.00589927416386</v>
      </c>
      <c r="M44" s="41">
        <v>8.792633952972E-4</v>
      </c>
      <c r="O44" s="41">
        <v>6022.0</v>
      </c>
      <c r="P44" s="41">
        <v>335.007516218</v>
      </c>
      <c r="Q44" s="41">
        <v>0.0015731885793508</v>
      </c>
      <c r="R44" s="41">
        <v>0.003951223579225</v>
      </c>
      <c r="S44" s="41">
        <v>0.0064575437771419</v>
      </c>
      <c r="T44" s="41">
        <v>9.295431217805E-4</v>
      </c>
    </row>
    <row r="45">
      <c r="A45" s="41">
        <v>5327.0</v>
      </c>
      <c r="B45" s="41">
        <v>314.608296471</v>
      </c>
      <c r="C45" s="41">
        <v>0.0037066780526133</v>
      </c>
      <c r="D45" s="41">
        <v>0.0037105721436722</v>
      </c>
      <c r="E45" s="41">
        <v>0.0060304676021479</v>
      </c>
      <c r="F45" s="41">
        <v>8.729346911305E-4</v>
      </c>
      <c r="H45" s="41">
        <v>5838.0</v>
      </c>
      <c r="I45" s="41">
        <v>273.189488609001</v>
      </c>
      <c r="J45" s="41">
        <v>0.0031621478597952</v>
      </c>
      <c r="K45" s="41">
        <v>0.0032217950968493</v>
      </c>
      <c r="L45" s="41">
        <v>0.0050749840599839</v>
      </c>
      <c r="M45" s="41">
        <v>7.579474941805E-4</v>
      </c>
      <c r="O45" s="41">
        <v>6340.0</v>
      </c>
      <c r="P45" s="41">
        <v>347.247764666</v>
      </c>
      <c r="Q45" s="41">
        <v>0.0016305813343913</v>
      </c>
      <c r="R45" s="41">
        <v>0.0040951639650673</v>
      </c>
      <c r="S45" s="41">
        <v>0.00669334841023</v>
      </c>
      <c r="T45" s="41">
        <v>9.634401063499E-4</v>
      </c>
    </row>
    <row r="46">
      <c r="A46" s="41">
        <v>4669.0</v>
      </c>
      <c r="B46" s="41">
        <v>279.945839607999</v>
      </c>
      <c r="C46" s="41">
        <v>0.0032946043784821</v>
      </c>
      <c r="D46" s="41">
        <v>0.0033021978338826</v>
      </c>
      <c r="E46" s="41">
        <v>0.005354948172844</v>
      </c>
      <c r="F46" s="41">
        <v>7.768663776027E-4</v>
      </c>
      <c r="H46" s="41">
        <v>4644.0</v>
      </c>
      <c r="I46" s="41">
        <v>211.294027079999</v>
      </c>
      <c r="J46" s="41">
        <v>0.0024403676261683</v>
      </c>
      <c r="K46" s="41">
        <v>0.0024918984312034</v>
      </c>
      <c r="L46" s="41">
        <v>0.0039097778500419</v>
      </c>
      <c r="M46" s="41">
        <v>5.862517862194E-4</v>
      </c>
      <c r="O46" s="41">
        <v>6141.0</v>
      </c>
      <c r="P46" s="41">
        <v>357.532647566</v>
      </c>
      <c r="Q46" s="41">
        <v>0.0016789464234976</v>
      </c>
      <c r="R46" s="41">
        <v>0.0042166455523804</v>
      </c>
      <c r="S46" s="41">
        <v>0.006891894124622</v>
      </c>
      <c r="T46" s="41">
        <v>9.919904664638E-4</v>
      </c>
    </row>
    <row r="47">
      <c r="A47" s="41">
        <v>4538.0</v>
      </c>
      <c r="B47" s="41">
        <v>261.136719213998</v>
      </c>
      <c r="C47" s="41">
        <v>0.0030741636307155</v>
      </c>
      <c r="D47" s="41">
        <v>0.0030794686361701</v>
      </c>
      <c r="E47" s="41">
        <v>0.0049988348323979</v>
      </c>
      <c r="F47" s="41">
        <v>7.244826726277E-4</v>
      </c>
      <c r="H47" s="41">
        <v>5336.0</v>
      </c>
      <c r="I47" s="41">
        <v>254.349024430999</v>
      </c>
      <c r="J47" s="41">
        <v>0.0029386782884587</v>
      </c>
      <c r="K47" s="41">
        <v>0.0030000534774097</v>
      </c>
      <c r="L47" s="41">
        <v>0.004708994600526</v>
      </c>
      <c r="M47" s="41">
        <v>7.057793738666E-4</v>
      </c>
      <c r="O47" s="41">
        <v>6439.0</v>
      </c>
      <c r="P47" s="41">
        <v>370.885238940001</v>
      </c>
      <c r="Q47" s="41">
        <v>0.0017417010612328</v>
      </c>
      <c r="R47" s="41">
        <v>0.0043737767447402</v>
      </c>
      <c r="S47" s="41">
        <v>0.0071500593311539</v>
      </c>
      <c r="T47" s="41">
        <v>0.0010289803197888</v>
      </c>
    </row>
    <row r="48">
      <c r="A48" s="41">
        <v>5252.0</v>
      </c>
      <c r="B48" s="41">
        <v>325.890642854999</v>
      </c>
      <c r="C48" s="41">
        <v>0.0038371891676069</v>
      </c>
      <c r="D48" s="41">
        <v>0.0038431104569881</v>
      </c>
      <c r="E48" s="41">
        <v>0.0062404763812659</v>
      </c>
      <c r="F48" s="41">
        <v>9.041027200583E-4</v>
      </c>
      <c r="H48" s="41">
        <v>5058.0</v>
      </c>
      <c r="I48" s="41">
        <v>234.913538258999</v>
      </c>
      <c r="J48" s="41">
        <v>0.002714851954887</v>
      </c>
      <c r="K48" s="41">
        <v>0.0027707330595896</v>
      </c>
      <c r="L48" s="41">
        <v>0.004351319869942</v>
      </c>
      <c r="M48" s="41">
        <v>6.518537438472E-4</v>
      </c>
      <c r="O48" s="41">
        <v>5842.0</v>
      </c>
      <c r="P48" s="41">
        <v>323.087460748</v>
      </c>
      <c r="Q48" s="41">
        <v>0.0015167950007774</v>
      </c>
      <c r="R48" s="41">
        <v>0.0038101302604847</v>
      </c>
      <c r="S48" s="41">
        <v>0.006225363035842</v>
      </c>
      <c r="T48" s="41">
        <v>8.963764593083E-4</v>
      </c>
    </row>
    <row r="49">
      <c r="A49" s="41">
        <v>7135.0</v>
      </c>
      <c r="B49" s="41">
        <v>452.460019726997</v>
      </c>
      <c r="C49" s="41">
        <v>0.0053344024336908</v>
      </c>
      <c r="D49" s="41">
        <v>0.0053361083760707</v>
      </c>
      <c r="E49" s="41">
        <v>0.0086834319467399</v>
      </c>
      <c r="F49" s="41">
        <v>0.0012553797711222</v>
      </c>
      <c r="H49" s="41">
        <v>6021.0</v>
      </c>
      <c r="I49" s="41">
        <v>263.562559330001</v>
      </c>
      <c r="J49" s="41">
        <v>0.0030485494115019</v>
      </c>
      <c r="K49" s="41">
        <v>0.0031080648322987</v>
      </c>
      <c r="L49" s="41">
        <v>0.0048901605787919</v>
      </c>
      <c r="M49" s="41">
        <v>7.312150917472E-4</v>
      </c>
      <c r="O49" s="41">
        <v>6453.0</v>
      </c>
      <c r="P49" s="41">
        <v>325.800641914</v>
      </c>
      <c r="Q49" s="41">
        <v>0.0015300112175126</v>
      </c>
      <c r="R49" s="41">
        <v>0.0038430600215653</v>
      </c>
      <c r="S49" s="41">
        <v>0.0062799503017339</v>
      </c>
      <c r="T49" s="41">
        <v>9.041115659055E-4</v>
      </c>
    </row>
    <row r="50">
      <c r="A50" s="41">
        <v>5867.0</v>
      </c>
      <c r="B50" s="41">
        <v>391.179122089997</v>
      </c>
      <c r="C50" s="41">
        <v>0.0046083641101681</v>
      </c>
      <c r="D50" s="41">
        <v>0.0046133484941077</v>
      </c>
      <c r="E50" s="41">
        <v>0.0074972446089019</v>
      </c>
      <c r="F50" s="41">
        <v>0.0010853354797277</v>
      </c>
      <c r="H50" s="41">
        <v>5381.0</v>
      </c>
      <c r="I50" s="41">
        <v>266.084260858</v>
      </c>
      <c r="J50" s="41">
        <v>0.0030765677098071</v>
      </c>
      <c r="K50" s="41">
        <v>0.0031382963079041</v>
      </c>
      <c r="L50" s="41">
        <v>0.0049330717242319</v>
      </c>
      <c r="M50" s="41">
        <v>7.383021258694E-4</v>
      </c>
      <c r="O50" s="41">
        <v>6400.0</v>
      </c>
      <c r="P50" s="41">
        <v>378.977489462999</v>
      </c>
      <c r="Q50" s="41">
        <v>0.0017798960630626</v>
      </c>
      <c r="R50" s="41">
        <v>0.0044701157016735</v>
      </c>
      <c r="S50" s="41">
        <v>0.0073063233450539</v>
      </c>
      <c r="T50" s="41">
        <v>0.0010516569912971</v>
      </c>
    </row>
    <row r="51">
      <c r="A51" s="41">
        <v>4775.0</v>
      </c>
      <c r="B51" s="41">
        <v>263.081378195001</v>
      </c>
      <c r="C51" s="41">
        <v>0.0030960864793014</v>
      </c>
      <c r="D51" s="41">
        <v>0.0031026198902569</v>
      </c>
      <c r="E51" s="41">
        <v>0.0050330023597319</v>
      </c>
      <c r="F51" s="41">
        <v>7.299393875333E-4</v>
      </c>
      <c r="H51" s="41">
        <v>6319.0</v>
      </c>
      <c r="I51" s="41">
        <v>300.895434448999</v>
      </c>
      <c r="J51" s="41">
        <v>0.0034855292159089</v>
      </c>
      <c r="K51" s="41">
        <v>0.0035486716742708</v>
      </c>
      <c r="L51" s="41">
        <v>0.005597175588848</v>
      </c>
      <c r="M51" s="41">
        <v>8.348733367777E-4</v>
      </c>
      <c r="O51" s="41">
        <v>6821.0</v>
      </c>
      <c r="P51" s="41">
        <v>372.210402364999</v>
      </c>
      <c r="Q51" s="41">
        <v>0.0017479575355362</v>
      </c>
      <c r="R51" s="41">
        <v>0.0043895600579749</v>
      </c>
      <c r="S51" s="41">
        <v>0.0071756537960739</v>
      </c>
      <c r="T51" s="41">
        <v>0.001032694305636</v>
      </c>
    </row>
    <row r="52">
      <c r="A52" s="41">
        <v>5576.0</v>
      </c>
      <c r="B52" s="41">
        <v>325.858900079001</v>
      </c>
      <c r="C52" s="41">
        <v>0.0038380677565986</v>
      </c>
      <c r="D52" s="41">
        <v>0.0038431320641535</v>
      </c>
      <c r="E52" s="41">
        <v>0.0062429547165819</v>
      </c>
      <c r="F52" s="41">
        <v>9.041185938861E-4</v>
      </c>
      <c r="H52" s="41">
        <v>5756.0</v>
      </c>
      <c r="I52" s="41">
        <v>259.032536164999</v>
      </c>
      <c r="J52" s="41">
        <v>0.0029928254569487</v>
      </c>
      <c r="K52" s="41">
        <v>0.0030547429588048</v>
      </c>
      <c r="L52" s="41">
        <v>0.0047964849482959</v>
      </c>
      <c r="M52" s="41">
        <v>7.186485276527E-4</v>
      </c>
      <c r="O52" s="41">
        <v>7278.0</v>
      </c>
      <c r="P52" s="41">
        <v>410.048046325999</v>
      </c>
      <c r="Q52" s="41">
        <v>0.0019257708136293</v>
      </c>
      <c r="R52" s="41">
        <v>0.0048359815374945</v>
      </c>
      <c r="S52" s="41">
        <v>0.007905740213476</v>
      </c>
      <c r="T52" s="41">
        <v>0.0011377251769333</v>
      </c>
    </row>
    <row r="53">
      <c r="A53" s="41">
        <v>5549.0</v>
      </c>
      <c r="B53" s="41">
        <v>332.47663932</v>
      </c>
      <c r="C53" s="41">
        <v>0.0039139334933707</v>
      </c>
      <c r="D53" s="41">
        <v>0.0039216944990888</v>
      </c>
      <c r="E53" s="41">
        <v>0.006363104534924</v>
      </c>
      <c r="F53" s="41">
        <v>9.226458686472E-4</v>
      </c>
      <c r="H53" s="41">
        <v>5020.0</v>
      </c>
      <c r="I53" s="41">
        <v>212.049851666</v>
      </c>
      <c r="J53" s="41">
        <v>0.0024477676132508</v>
      </c>
      <c r="K53" s="41">
        <v>0.0025010697384305</v>
      </c>
      <c r="L53" s="41">
        <v>0.003919640913488</v>
      </c>
      <c r="M53" s="41">
        <v>5.884070825777E-4</v>
      </c>
      <c r="O53" s="41">
        <v>6638.0</v>
      </c>
      <c r="P53" s="41">
        <v>359.899012378999</v>
      </c>
      <c r="Q53" s="41">
        <v>0.001689704874884</v>
      </c>
      <c r="R53" s="41">
        <v>0.0042445342468889</v>
      </c>
      <c r="S53" s="41">
        <v>0.006934967214636</v>
      </c>
      <c r="T53" s="41">
        <v>9.985671688611E-4</v>
      </c>
    </row>
    <row r="54">
      <c r="A54" s="41">
        <v>6161.0</v>
      </c>
      <c r="B54" s="41">
        <v>384.256302010999</v>
      </c>
      <c r="C54" s="41">
        <v>0.0045259949913175</v>
      </c>
      <c r="D54" s="41">
        <v>0.0045322049653458</v>
      </c>
      <c r="E54" s="41">
        <v>0.0073615997781639</v>
      </c>
      <c r="F54" s="41">
        <v>0.0010662620488416</v>
      </c>
      <c r="H54" s="41">
        <v>5741.0</v>
      </c>
      <c r="I54" s="41">
        <v>260.421776908999</v>
      </c>
      <c r="J54" s="41">
        <v>0.0030110085263342</v>
      </c>
      <c r="K54" s="41">
        <v>0.0030714603908374</v>
      </c>
      <c r="L54" s="41">
        <v>0.0048279121956599</v>
      </c>
      <c r="M54" s="41">
        <v>7.22570585886E-4</v>
      </c>
      <c r="O54" s="41">
        <v>6747.0</v>
      </c>
      <c r="P54" s="41">
        <v>364.225253502001</v>
      </c>
      <c r="Q54" s="41">
        <v>0.0017106804564301</v>
      </c>
      <c r="R54" s="41">
        <v>0.0042951583434673</v>
      </c>
      <c r="S54" s="41">
        <v>0.00702364311891</v>
      </c>
      <c r="T54" s="41">
        <v>0.0010104427226444</v>
      </c>
    </row>
    <row r="55">
      <c r="A55" s="41">
        <v>5651.0</v>
      </c>
      <c r="B55" s="41">
        <v>330.581961009</v>
      </c>
      <c r="C55" s="41">
        <v>0.0038906219060597</v>
      </c>
      <c r="D55" s="41">
        <v>0.0038982679922644</v>
      </c>
      <c r="E55" s="41">
        <v>0.0063253214491419</v>
      </c>
      <c r="F55" s="41">
        <v>9.171033483666E-4</v>
      </c>
      <c r="H55" s="41">
        <v>6481.0</v>
      </c>
      <c r="I55" s="41">
        <v>304.683920020999</v>
      </c>
      <c r="J55" s="41">
        <v>0.0035269527546331</v>
      </c>
      <c r="K55" s="41">
        <v>0.0035938106532979</v>
      </c>
      <c r="L55" s="41">
        <v>0.0056600520280379</v>
      </c>
      <c r="M55" s="41">
        <v>8.454731246472E-4</v>
      </c>
      <c r="O55" s="41">
        <v>6861.0</v>
      </c>
      <c r="P55" s="41">
        <v>369.593482452997</v>
      </c>
      <c r="Q55" s="41">
        <v>0.0017355118669446</v>
      </c>
      <c r="R55" s="41">
        <v>0.0043586616233054</v>
      </c>
      <c r="S55" s="41">
        <v>0.0071241443104219</v>
      </c>
      <c r="T55" s="41">
        <v>0.0010254035995805</v>
      </c>
    </row>
    <row r="56">
      <c r="A56" s="41">
        <v>4464.0</v>
      </c>
      <c r="B56" s="41">
        <v>255.464017670998</v>
      </c>
      <c r="C56" s="41">
        <v>0.003003623633417</v>
      </c>
      <c r="D56" s="41">
        <v>0.0030125537260297</v>
      </c>
      <c r="E56" s="41">
        <v>0.004879511959162</v>
      </c>
      <c r="F56" s="41">
        <v>7.087310419027E-4</v>
      </c>
      <c r="H56" s="41">
        <v>5681.0</v>
      </c>
      <c r="I56" s="41">
        <v>276.059463937999</v>
      </c>
      <c r="J56" s="41">
        <v>0.0031868506582119</v>
      </c>
      <c r="K56" s="41">
        <v>0.0032559120774854</v>
      </c>
      <c r="L56" s="41">
        <v>0.005103569638408</v>
      </c>
      <c r="M56" s="41">
        <v>7.659807441638E-4</v>
      </c>
      <c r="O56" s="41">
        <v>6307.0</v>
      </c>
      <c r="P56" s="41">
        <v>356.549375201</v>
      </c>
      <c r="Q56" s="41">
        <v>0.0016743212896526</v>
      </c>
      <c r="R56" s="41">
        <v>0.0042051480025771</v>
      </c>
      <c r="S56" s="41">
        <v>0.006872739387076</v>
      </c>
      <c r="T56" s="41">
        <v>9.893084134638E-4</v>
      </c>
    </row>
    <row r="57">
      <c r="A57" s="41">
        <v>5457.0</v>
      </c>
      <c r="B57" s="41">
        <v>320.171811656</v>
      </c>
      <c r="C57" s="41">
        <v>0.0037708420880428</v>
      </c>
      <c r="D57" s="41">
        <v>0.0037761359829443</v>
      </c>
      <c r="E57" s="41">
        <v>0.0061331951843299</v>
      </c>
      <c r="F57" s="41">
        <v>8.883752858249E-4</v>
      </c>
      <c r="H57" s="41">
        <v>6388.0</v>
      </c>
      <c r="I57" s="41">
        <v>306.505730650998</v>
      </c>
      <c r="J57" s="41">
        <v>0.0035448163341806</v>
      </c>
      <c r="K57" s="41">
        <v>0.0036148439917923</v>
      </c>
      <c r="L57" s="41">
        <v>0.005685223437064</v>
      </c>
      <c r="M57" s="41">
        <v>8.504202640666E-4</v>
      </c>
      <c r="O57" s="41">
        <v>7314.0</v>
      </c>
      <c r="P57" s="41">
        <v>410.418157644002</v>
      </c>
      <c r="Q57" s="41">
        <v>0.0019280018584548</v>
      </c>
      <c r="R57" s="41">
        <v>0.0048404881665668</v>
      </c>
      <c r="S57" s="41">
        <v>0.007916270777456</v>
      </c>
      <c r="T57" s="41">
        <v>0.0011387676066639</v>
      </c>
    </row>
    <row r="58">
      <c r="A58" s="41">
        <v>4033.0</v>
      </c>
      <c r="B58" s="41">
        <v>225.523847455002</v>
      </c>
      <c r="C58" s="41">
        <v>0.0026502934274922</v>
      </c>
      <c r="D58" s="41">
        <v>0.0026596021403014</v>
      </c>
      <c r="E58" s="41">
        <v>0.0043037467763279</v>
      </c>
      <c r="F58" s="41">
        <v>6.256961233055E-4</v>
      </c>
      <c r="H58" s="41">
        <v>5382.0</v>
      </c>
      <c r="I58" s="41">
        <v>262.763081230001</v>
      </c>
      <c r="J58" s="41">
        <v>0.0030344998461961</v>
      </c>
      <c r="K58" s="41">
        <v>0.0030993292137389</v>
      </c>
      <c r="L58" s="41">
        <v>0.0048607263885779</v>
      </c>
      <c r="M58" s="41">
        <v>7.291543423527E-4</v>
      </c>
      <c r="O58" s="41">
        <v>6023.0</v>
      </c>
      <c r="P58" s="41">
        <v>342.639909425997</v>
      </c>
      <c r="Q58" s="41">
        <v>0.0016087376349833</v>
      </c>
      <c r="R58" s="41">
        <v>0.0040412747598527</v>
      </c>
      <c r="S58" s="41">
        <v>0.006602535282024</v>
      </c>
      <c r="T58" s="41">
        <v>9.507101718722E-4</v>
      </c>
    </row>
    <row r="59">
      <c r="A59" s="41">
        <v>4479.0</v>
      </c>
      <c r="B59" s="41">
        <v>273.642129488998</v>
      </c>
      <c r="C59" s="41">
        <v>0.0032210663831149</v>
      </c>
      <c r="D59" s="41">
        <v>0.0032271086514865</v>
      </c>
      <c r="E59" s="41">
        <v>0.005237133634148</v>
      </c>
      <c r="F59" s="41">
        <v>7.591959965221E-4</v>
      </c>
      <c r="H59" s="41">
        <v>4541.0</v>
      </c>
      <c r="I59" s="41">
        <v>212.353475091</v>
      </c>
      <c r="J59" s="41">
        <v>0.0024448463122252</v>
      </c>
      <c r="K59" s="41">
        <v>0.0025044137165361</v>
      </c>
      <c r="L59" s="41">
        <v>0.0039071545146099</v>
      </c>
      <c r="M59" s="41">
        <v>5.891844352305E-4</v>
      </c>
      <c r="O59" s="41">
        <v>6084.0</v>
      </c>
      <c r="P59" s="41">
        <v>357.644174139</v>
      </c>
      <c r="Q59" s="41">
        <v>0.0016793593359987</v>
      </c>
      <c r="R59" s="41">
        <v>0.0042181558260881</v>
      </c>
      <c r="S59" s="41">
        <v>0.0068929744032639</v>
      </c>
      <c r="T59" s="41">
        <v>9.9237586385E-4</v>
      </c>
    </row>
    <row r="60">
      <c r="A60" s="41">
        <v>5625.0</v>
      </c>
      <c r="B60" s="41">
        <v>348.296477389001</v>
      </c>
      <c r="C60" s="41">
        <v>0.0040990105454833</v>
      </c>
      <c r="D60" s="41">
        <v>0.0041077395400264</v>
      </c>
      <c r="E60" s="41">
        <v>0.00666324838615</v>
      </c>
      <c r="F60" s="41">
        <v>9.66420213675E-4</v>
      </c>
      <c r="H60" s="41">
        <v>5492.0</v>
      </c>
      <c r="I60" s="41">
        <v>256.267176664998</v>
      </c>
      <c r="J60" s="41">
        <v>0.0029524837492732</v>
      </c>
      <c r="K60" s="41">
        <v>0.0030225829740631</v>
      </c>
      <c r="L60" s="41">
        <v>0.00472069127655</v>
      </c>
      <c r="M60" s="41">
        <v>7.11084772611E-4</v>
      </c>
      <c r="O60" s="41">
        <v>7401.0</v>
      </c>
      <c r="P60" s="41">
        <v>430.235342716998</v>
      </c>
      <c r="Q60" s="41">
        <v>0.0020211457423458</v>
      </c>
      <c r="R60" s="41">
        <v>0.0050742159290671</v>
      </c>
      <c r="S60" s="41">
        <v>0.0082988702502019</v>
      </c>
      <c r="T60" s="41">
        <v>0.0011937484959221</v>
      </c>
    </row>
    <row r="61">
      <c r="A61" s="41">
        <v>3971.0</v>
      </c>
      <c r="B61" s="41">
        <v>230.759275148</v>
      </c>
      <c r="C61" s="41">
        <v>0.002702581367684</v>
      </c>
      <c r="D61" s="41">
        <v>0.002721507841527</v>
      </c>
      <c r="E61" s="41">
        <v>0.0043770421127419</v>
      </c>
      <c r="F61" s="41">
        <v>6.402202176249E-4</v>
      </c>
      <c r="H61" s="41">
        <v>5087.0</v>
      </c>
      <c r="I61" s="41">
        <v>250.055143190998</v>
      </c>
      <c r="J61" s="41">
        <v>0.0028824297674441</v>
      </c>
      <c r="K61" s="41">
        <v>0.002949293173443</v>
      </c>
      <c r="L61" s="41">
        <v>0.004610610910708</v>
      </c>
      <c r="M61" s="41">
        <v>6.938572173972E-4</v>
      </c>
      <c r="O61" s="41">
        <v>6954.0</v>
      </c>
      <c r="P61" s="41">
        <v>423.672018523997</v>
      </c>
      <c r="Q61" s="41">
        <v>0.0019905435615274</v>
      </c>
      <c r="R61" s="41">
        <v>0.0049966349566665</v>
      </c>
      <c r="S61" s="41">
        <v>0.0081741129281739</v>
      </c>
      <c r="T61" s="41">
        <v>0.0011755302518777</v>
      </c>
    </row>
    <row r="62">
      <c r="A62" s="41">
        <v>5962.0</v>
      </c>
      <c r="B62" s="41">
        <v>373.935988297002</v>
      </c>
      <c r="C62" s="41">
        <v>0.0043995902079877</v>
      </c>
      <c r="D62" s="41">
        <v>0.0044104536806944</v>
      </c>
      <c r="E62" s="41">
        <v>0.0071500507200359</v>
      </c>
      <c r="F62" s="41">
        <v>0.0010376056422278</v>
      </c>
      <c r="H62" s="41">
        <v>5694.0</v>
      </c>
      <c r="I62" s="41">
        <v>268.516937147</v>
      </c>
      <c r="J62" s="41">
        <v>0.0030965861076621</v>
      </c>
      <c r="K62" s="41">
        <v>0.0031669427273568</v>
      </c>
      <c r="L62" s="41">
        <v>0.004954989797322</v>
      </c>
      <c r="M62" s="41">
        <v>7.450597854222E-4</v>
      </c>
      <c r="O62" s="41">
        <v>6919.0</v>
      </c>
      <c r="P62" s="41">
        <v>389.991163311999</v>
      </c>
      <c r="Q62" s="41">
        <v>0.00183216257618</v>
      </c>
      <c r="R62" s="41">
        <v>0.0045999485734826</v>
      </c>
      <c r="S62" s="41">
        <v>0.007522655740342</v>
      </c>
      <c r="T62" s="41">
        <v>0.0010821877930083</v>
      </c>
    </row>
    <row r="63">
      <c r="A63" s="41">
        <v>5654.0</v>
      </c>
      <c r="B63" s="41">
        <v>354.652992716</v>
      </c>
      <c r="C63" s="41">
        <v>0.004172141901307</v>
      </c>
      <c r="D63" s="41">
        <v>0.0041825363196007</v>
      </c>
      <c r="E63" s="41">
        <v>0.006780309313132</v>
      </c>
      <c r="F63" s="41">
        <v>9.839722077277E-4</v>
      </c>
      <c r="H63" s="41">
        <v>5867.0</v>
      </c>
      <c r="I63" s="41">
        <v>284.128223677998</v>
      </c>
      <c r="J63" s="41">
        <v>0.003276000924866</v>
      </c>
      <c r="K63" s="41">
        <v>0.003350728421745</v>
      </c>
      <c r="L63" s="41">
        <v>0.0052417289156019</v>
      </c>
      <c r="M63" s="41">
        <v>7.882845502416E-4</v>
      </c>
      <c r="O63" s="41">
        <v>6929.0</v>
      </c>
      <c r="P63" s="41">
        <v>396.689735028998</v>
      </c>
      <c r="Q63" s="41">
        <v>0.0018631468996573</v>
      </c>
      <c r="R63" s="41">
        <v>0.0046777318440653</v>
      </c>
      <c r="S63" s="41">
        <v>0.00764990611992</v>
      </c>
      <c r="T63" s="41">
        <v>0.0011004648661472</v>
      </c>
    </row>
    <row r="64">
      <c r="A64" s="41">
        <v>7781.0</v>
      </c>
      <c r="B64" s="41">
        <v>553.880778579001</v>
      </c>
      <c r="C64" s="41">
        <v>0.0065253652545962</v>
      </c>
      <c r="D64" s="41">
        <v>0.0065325387509619</v>
      </c>
      <c r="E64" s="41">
        <v>0.0106158315482139</v>
      </c>
      <c r="F64" s="41">
        <v>0.0015368402912666</v>
      </c>
      <c r="H64" s="41">
        <v>5213.0</v>
      </c>
      <c r="I64" s="41">
        <v>253.992765527</v>
      </c>
      <c r="J64" s="41">
        <v>0.0029192171112857</v>
      </c>
      <c r="K64" s="41">
        <v>0.0029956883834785</v>
      </c>
      <c r="L64" s="41">
        <v>0.004658634560238</v>
      </c>
      <c r="M64" s="41">
        <v>7.047779426555E-4</v>
      </c>
      <c r="O64" s="41">
        <v>6079.0</v>
      </c>
      <c r="P64" s="41">
        <v>348.983639227</v>
      </c>
      <c r="Q64" s="41">
        <v>0.0016384666197393</v>
      </c>
      <c r="R64" s="41">
        <v>0.0041157090164104</v>
      </c>
      <c r="S64" s="41">
        <v>0.006724811213178</v>
      </c>
      <c r="T64" s="41">
        <v>9.682632096805E-4</v>
      </c>
    </row>
    <row r="65">
      <c r="A65" s="41">
        <v>6645.0</v>
      </c>
      <c r="B65" s="41">
        <v>435.085504611997</v>
      </c>
      <c r="C65" s="41">
        <v>0.0051248099321341</v>
      </c>
      <c r="D65" s="41">
        <v>0.0051311082462021</v>
      </c>
      <c r="E65" s="41">
        <v>0.0083365591692419</v>
      </c>
      <c r="F65" s="41">
        <v>0.001207090101075</v>
      </c>
      <c r="H65" s="41">
        <v>5871.0</v>
      </c>
      <c r="I65" s="41">
        <v>280.467504909</v>
      </c>
      <c r="J65" s="41">
        <v>0.0032283060776899</v>
      </c>
      <c r="K65" s="41">
        <v>0.0033084102850417</v>
      </c>
      <c r="L65" s="41">
        <v>0.00515741245926</v>
      </c>
      <c r="M65" s="41">
        <v>7.783462115361E-4</v>
      </c>
      <c r="O65" s="41">
        <v>6607.0</v>
      </c>
      <c r="P65" s="41">
        <v>367.597637117</v>
      </c>
      <c r="Q65" s="41">
        <v>0.0017260265414667</v>
      </c>
      <c r="R65" s="41">
        <v>0.0043350945485222</v>
      </c>
      <c r="S65" s="41">
        <v>0.007084885390126</v>
      </c>
      <c r="T65" s="41">
        <v>0.001019866801625</v>
      </c>
    </row>
    <row r="66">
      <c r="A66" s="41">
        <v>4638.0</v>
      </c>
      <c r="B66" s="41">
        <v>279.915052248998</v>
      </c>
      <c r="C66" s="41">
        <v>0.0032874128874713</v>
      </c>
      <c r="D66" s="41">
        <v>0.0033013769655194</v>
      </c>
      <c r="E66" s="41">
        <v>0.005335385934972</v>
      </c>
      <c r="F66" s="41">
        <v>7.76656839786E-4</v>
      </c>
      <c r="H66" s="41">
        <v>5294.0</v>
      </c>
      <c r="I66" s="41">
        <v>259.029060709999</v>
      </c>
      <c r="J66" s="41">
        <v>0.0029789349562019</v>
      </c>
      <c r="K66" s="41">
        <v>0.0030550951493041</v>
      </c>
      <c r="L66" s="41">
        <v>0.0047562854716919</v>
      </c>
      <c r="M66" s="41">
        <v>7.187207327416E-4</v>
      </c>
      <c r="O66" s="41">
        <v>6042.0</v>
      </c>
      <c r="P66" s="41">
        <v>342.615836583001</v>
      </c>
      <c r="Q66" s="41">
        <v>0.0016086354625119</v>
      </c>
      <c r="R66" s="41">
        <v>0.0040408033024417</v>
      </c>
      <c r="S66" s="41">
        <v>0.006602365281888</v>
      </c>
      <c r="T66" s="41">
        <v>9.506152503111E-4</v>
      </c>
    </row>
    <row r="67">
      <c r="A67" s="41">
        <v>7031.0</v>
      </c>
      <c r="B67" s="41">
        <v>493.921380705</v>
      </c>
      <c r="C67" s="41">
        <v>0.0058176205637212</v>
      </c>
      <c r="D67" s="41">
        <v>0.0058254294643784</v>
      </c>
      <c r="E67" s="41">
        <v>0.0094626736812439</v>
      </c>
      <c r="F67" s="41">
        <v>0.0013704992662277</v>
      </c>
      <c r="H67" s="41">
        <v>5309.0</v>
      </c>
      <c r="I67" s="41">
        <v>261.782475773001</v>
      </c>
      <c r="J67" s="41">
        <v>0.0030075494606363</v>
      </c>
      <c r="K67" s="41">
        <v>0.0030875868224271</v>
      </c>
      <c r="L67" s="41">
        <v>0.004798059671778</v>
      </c>
      <c r="M67" s="41">
        <v>7.263917351611E-4</v>
      </c>
      <c r="O67" s="41">
        <v>7211.0</v>
      </c>
      <c r="P67" s="41">
        <v>436.032233066998</v>
      </c>
      <c r="Q67" s="41">
        <v>0.0020482839261209</v>
      </c>
      <c r="R67" s="41">
        <v>0.0051418649876194</v>
      </c>
      <c r="S67" s="41">
        <v>0.0084109406176359</v>
      </c>
      <c r="T67" s="41">
        <v>0.0012096198322222</v>
      </c>
    </row>
    <row r="68">
      <c r="A68" s="41">
        <v>6284.0</v>
      </c>
      <c r="B68" s="41">
        <v>419.110661582999</v>
      </c>
      <c r="C68" s="41">
        <v>0.00493315845785</v>
      </c>
      <c r="D68" s="41">
        <v>0.0049431215740409</v>
      </c>
      <c r="E68" s="41">
        <v>0.00801995780485</v>
      </c>
      <c r="F68" s="41">
        <v>0.0011628892166638</v>
      </c>
      <c r="H68" s="41">
        <v>5479.0</v>
      </c>
      <c r="I68" s="41">
        <v>265.811559262998</v>
      </c>
      <c r="J68" s="41">
        <v>0.0030613219085978</v>
      </c>
      <c r="K68" s="41">
        <v>0.0031352405434303</v>
      </c>
      <c r="L68" s="41">
        <v>0.0048931780812059</v>
      </c>
      <c r="M68" s="41">
        <v>7.375955853722E-4</v>
      </c>
      <c r="O68" s="41">
        <v>6787.0</v>
      </c>
      <c r="P68" s="41">
        <v>394.643691606001</v>
      </c>
      <c r="Q68" s="41">
        <v>0.0018537121934002</v>
      </c>
      <c r="R68" s="41">
        <v>0.0046541573167652</v>
      </c>
      <c r="S68" s="41">
        <v>0.0076110658110699</v>
      </c>
      <c r="T68" s="41">
        <v>0.0010948817329389</v>
      </c>
    </row>
    <row r="69">
      <c r="A69" s="41">
        <v>4782.0</v>
      </c>
      <c r="B69" s="41">
        <v>270.680023642999</v>
      </c>
      <c r="C69" s="41">
        <v>0.0031772105452678</v>
      </c>
      <c r="D69" s="41">
        <v>0.0031926239996555</v>
      </c>
      <c r="E69" s="41">
        <v>0.0051541199566259</v>
      </c>
      <c r="F69" s="41">
        <v>7.511142956666E-4</v>
      </c>
      <c r="H69" s="41">
        <v>5666.0</v>
      </c>
      <c r="I69" s="41">
        <v>265.353830338001</v>
      </c>
      <c r="J69" s="41">
        <v>0.0030529889177203</v>
      </c>
      <c r="K69" s="41">
        <v>0.0031298371450327</v>
      </c>
      <c r="L69" s="41">
        <v>0.004876001400798</v>
      </c>
      <c r="M69" s="41">
        <v>7.363143654889E-4</v>
      </c>
      <c r="O69" s="41">
        <v>6655.0</v>
      </c>
      <c r="P69" s="41">
        <v>366.688329911998</v>
      </c>
      <c r="Q69" s="41">
        <v>0.0017218652399779</v>
      </c>
      <c r="R69" s="41">
        <v>0.0043244410605716</v>
      </c>
      <c r="S69" s="41">
        <v>0.0070680289877519</v>
      </c>
      <c r="T69" s="41">
        <v>0.00101738529175</v>
      </c>
    </row>
    <row r="70">
      <c r="A70" s="41">
        <v>6159.0</v>
      </c>
      <c r="B70" s="41">
        <v>420.417801839001</v>
      </c>
      <c r="C70" s="41">
        <v>0.0049420550971712</v>
      </c>
      <c r="D70" s="41">
        <v>0.0049584478236701</v>
      </c>
      <c r="E70" s="41">
        <v>0.0080264658656119</v>
      </c>
      <c r="F70" s="41">
        <v>0.0011665301973527</v>
      </c>
      <c r="H70" s="41">
        <v>5621.0</v>
      </c>
      <c r="I70" s="41">
        <v>285.156573240998</v>
      </c>
      <c r="J70" s="41">
        <v>0.0032816116315465</v>
      </c>
      <c r="K70" s="41">
        <v>0.0033631495946289</v>
      </c>
      <c r="L70" s="41">
        <v>0.0052424794717579</v>
      </c>
      <c r="M70" s="41">
        <v>7.911789311888E-4</v>
      </c>
      <c r="O70" s="41">
        <v>6315.0</v>
      </c>
      <c r="P70" s="41">
        <v>366.183812115999</v>
      </c>
      <c r="Q70" s="41">
        <v>0.0017198549298588</v>
      </c>
      <c r="R70" s="41">
        <v>0.0043184127597521</v>
      </c>
      <c r="S70" s="41">
        <v>0.0070610503710579</v>
      </c>
      <c r="T70" s="41">
        <v>0.0010159034692694</v>
      </c>
    </row>
    <row r="71">
      <c r="A71" s="41">
        <v>5256.0</v>
      </c>
      <c r="B71" s="41">
        <v>313.919239032999</v>
      </c>
      <c r="C71" s="41">
        <v>0.0036915509425607</v>
      </c>
      <c r="D71" s="41">
        <v>0.0037025653231286</v>
      </c>
      <c r="E71" s="41">
        <v>0.0059970267420619</v>
      </c>
      <c r="F71" s="41">
        <v>8.710662927472E-4</v>
      </c>
      <c r="H71" s="41">
        <v>5409.0</v>
      </c>
      <c r="I71" s="41">
        <v>249.741457821997</v>
      </c>
      <c r="J71" s="41">
        <v>0.0028702669343877</v>
      </c>
      <c r="K71" s="41">
        <v>0.0029454828670035</v>
      </c>
      <c r="L71" s="41">
        <v>0.004580492831058</v>
      </c>
      <c r="M71" s="41">
        <v>6.929576531472E-4</v>
      </c>
      <c r="O71" s="41">
        <v>7131.0</v>
      </c>
      <c r="P71" s="41">
        <v>408.198057411002</v>
      </c>
      <c r="Q71" s="41">
        <v>0.0019172482810345</v>
      </c>
      <c r="R71" s="41">
        <v>0.0048137420398979</v>
      </c>
      <c r="S71" s="41">
        <v>0.007871786575202</v>
      </c>
      <c r="T71" s="41">
        <v>0.0011324945763944</v>
      </c>
    </row>
    <row r="72">
      <c r="A72" s="41">
        <v>5225.0</v>
      </c>
      <c r="B72" s="41">
        <v>333.145391569996</v>
      </c>
      <c r="C72" s="41">
        <v>0.0039155422976031</v>
      </c>
      <c r="D72" s="41">
        <v>0.0039288939745569</v>
      </c>
      <c r="E72" s="41">
        <v>0.006358854253746</v>
      </c>
      <c r="F72" s="41">
        <v>9.243034426694E-4</v>
      </c>
      <c r="H72" s="41">
        <v>5713.0</v>
      </c>
      <c r="I72" s="41">
        <v>291.921857882</v>
      </c>
      <c r="J72" s="41">
        <v>0.0033595429285522</v>
      </c>
      <c r="K72" s="41">
        <v>0.0034426739149582</v>
      </c>
      <c r="L72" s="41">
        <v>0.0053673729050059</v>
      </c>
      <c r="M72" s="41">
        <v>8.09915382675E-4</v>
      </c>
      <c r="O72" s="41">
        <v>6233.0</v>
      </c>
      <c r="P72" s="41">
        <v>360.67506415</v>
      </c>
      <c r="Q72" s="41">
        <v>0.001693796964278</v>
      </c>
      <c r="R72" s="41">
        <v>0.0042533963361102</v>
      </c>
      <c r="S72" s="41">
        <v>0.0069534958405699</v>
      </c>
      <c r="T72" s="41">
        <v>0.0010006690273638</v>
      </c>
    </row>
    <row r="73">
      <c r="A73" s="41">
        <v>5752.0</v>
      </c>
      <c r="B73" s="41">
        <v>365.374023194999</v>
      </c>
      <c r="C73" s="41">
        <v>0.0042971683209195</v>
      </c>
      <c r="D73" s="41">
        <v>0.0043094353005028</v>
      </c>
      <c r="E73" s="41">
        <v>0.0069815444741199</v>
      </c>
      <c r="F73" s="41">
        <v>0.0010138479072305</v>
      </c>
      <c r="H73" s="41">
        <v>5702.0</v>
      </c>
      <c r="I73" s="41">
        <v>276.336078390999</v>
      </c>
      <c r="J73" s="41">
        <v>0.003178405725304</v>
      </c>
      <c r="K73" s="41">
        <v>0.0032594627904541</v>
      </c>
      <c r="L73" s="41">
        <v>0.0050749935044359</v>
      </c>
      <c r="M73" s="41">
        <v>7.668243234388E-4</v>
      </c>
      <c r="O73" s="41">
        <v>6552.0</v>
      </c>
      <c r="P73" s="41">
        <v>371.809438595999</v>
      </c>
      <c r="Q73" s="41">
        <v>0.0017456783240829</v>
      </c>
      <c r="R73" s="41">
        <v>0.0043851344133492</v>
      </c>
      <c r="S73" s="41">
        <v>0.007164707398428</v>
      </c>
      <c r="T73" s="41">
        <v>0.0010316395778166</v>
      </c>
    </row>
    <row r="74">
      <c r="A74" s="41">
        <v>5187.0</v>
      </c>
      <c r="B74" s="41">
        <v>317.025158511998</v>
      </c>
      <c r="C74" s="41">
        <v>0.0037275044213555</v>
      </c>
      <c r="D74" s="41">
        <v>0.00373865911382</v>
      </c>
      <c r="E74" s="41">
        <v>0.006055390122086</v>
      </c>
      <c r="F74" s="41">
        <v>8.795609563777E-4</v>
      </c>
      <c r="H74" s="41">
        <v>5549.0</v>
      </c>
      <c r="I74" s="41">
        <v>265.771998288</v>
      </c>
      <c r="J74" s="41">
        <v>0.0030595579714587</v>
      </c>
      <c r="K74" s="41">
        <v>0.0031342265963986</v>
      </c>
      <c r="L74" s="41">
        <v>0.0048893753003859</v>
      </c>
      <c r="M74" s="41">
        <v>7.373613259416E-4</v>
      </c>
      <c r="O74" s="41">
        <v>6890.0</v>
      </c>
      <c r="P74" s="41">
        <v>406.826732502999</v>
      </c>
      <c r="Q74" s="41">
        <v>0.0018977721018982</v>
      </c>
      <c r="R74" s="41">
        <v>0.0047980962570882</v>
      </c>
      <c r="S74" s="41">
        <v>0.007750765089496</v>
      </c>
      <c r="T74" s="41">
        <v>0.0011287928078638</v>
      </c>
    </row>
    <row r="75">
      <c r="A75" s="41">
        <v>6304.0</v>
      </c>
      <c r="B75" s="41">
        <v>425.255387681001</v>
      </c>
      <c r="C75" s="41">
        <v>0.0050041970232219</v>
      </c>
      <c r="D75" s="41">
        <v>0.0050157569917012</v>
      </c>
      <c r="E75" s="41">
        <v>0.008133633173568</v>
      </c>
      <c r="F75" s="41">
        <v>0.001179995480861</v>
      </c>
      <c r="H75" s="41">
        <v>5011.0</v>
      </c>
      <c r="I75" s="41">
        <v>237.226072441</v>
      </c>
      <c r="J75" s="41">
        <v>0.0027285363338581</v>
      </c>
      <c r="K75" s="41">
        <v>0.0027978631133492</v>
      </c>
      <c r="L75" s="41">
        <v>0.004356995985594</v>
      </c>
      <c r="M75" s="41">
        <v>6.582324312055E-4</v>
      </c>
      <c r="O75" s="41">
        <v>6748.0</v>
      </c>
      <c r="P75" s="41">
        <v>397.172462759997</v>
      </c>
      <c r="Q75" s="41">
        <v>0.0018651437667317</v>
      </c>
      <c r="R75" s="41">
        <v>0.0046841961251257</v>
      </c>
      <c r="S75" s="41">
        <v>0.007656293069474</v>
      </c>
      <c r="T75" s="41">
        <v>0.0011020054885944</v>
      </c>
    </row>
    <row r="76">
      <c r="A76" s="41">
        <v>4928.0</v>
      </c>
      <c r="B76" s="41">
        <v>300.734371298</v>
      </c>
      <c r="C76" s="41">
        <v>0.0035342721777367</v>
      </c>
      <c r="D76" s="41">
        <v>0.0035470684587653</v>
      </c>
      <c r="E76" s="41">
        <v>0.005738735702096</v>
      </c>
      <c r="F76" s="41">
        <v>8.344906193333E-4</v>
      </c>
      <c r="H76" s="41">
        <v>5870.0</v>
      </c>
      <c r="I76" s="41">
        <v>296.538747303999</v>
      </c>
      <c r="J76" s="41">
        <v>0.0034120601147203</v>
      </c>
      <c r="K76" s="41">
        <v>0.0034974141616353</v>
      </c>
      <c r="L76" s="41">
        <v>0.0054501571378999</v>
      </c>
      <c r="M76" s="41">
        <v>8.227724748444E-4</v>
      </c>
      <c r="O76" s="41">
        <v>7053.0</v>
      </c>
      <c r="P76" s="41">
        <v>417.35794936</v>
      </c>
      <c r="Q76" s="41">
        <v>0.0019603748722359</v>
      </c>
      <c r="R76" s="41">
        <v>0.0049223357056093</v>
      </c>
      <c r="S76" s="41">
        <v>0.0080484506054219</v>
      </c>
      <c r="T76" s="41">
        <v>0.0011580595544416</v>
      </c>
    </row>
    <row r="77">
      <c r="A77" s="41">
        <v>5606.0</v>
      </c>
      <c r="B77" s="41">
        <v>359.446842228</v>
      </c>
      <c r="C77" s="41">
        <v>0.0042286726412835</v>
      </c>
      <c r="D77" s="41">
        <v>0.0042396156277514</v>
      </c>
      <c r="E77" s="41">
        <v>0.0068716688306639</v>
      </c>
      <c r="F77" s="41">
        <v>9.974076588222E-4</v>
      </c>
      <c r="H77" s="41">
        <v>6191.0</v>
      </c>
      <c r="I77" s="41">
        <v>319.824922633997</v>
      </c>
      <c r="J77" s="41">
        <v>0.0036820695595582</v>
      </c>
      <c r="K77" s="41">
        <v>0.0037719382977999</v>
      </c>
      <c r="L77" s="41">
        <v>0.005884173318446</v>
      </c>
      <c r="M77" s="41">
        <v>8.873970525666E-4</v>
      </c>
      <c r="O77" s="41">
        <v>6743.0</v>
      </c>
      <c r="P77" s="41">
        <v>388.450881603002</v>
      </c>
      <c r="Q77" s="41">
        <v>0.0018244767792641</v>
      </c>
      <c r="R77" s="41">
        <v>0.0045809271574103</v>
      </c>
      <c r="S77" s="41">
        <v>0.0074907234925739</v>
      </c>
      <c r="T77" s="41">
        <v>0.0010777482555194</v>
      </c>
    </row>
    <row r="78">
      <c r="A78" s="41">
        <v>4873.0</v>
      </c>
      <c r="B78" s="41">
        <v>287.362676647</v>
      </c>
      <c r="C78" s="41">
        <v>0.0033775425442292</v>
      </c>
      <c r="D78" s="41">
        <v>0.0033888243771306</v>
      </c>
      <c r="E78" s="41">
        <v>0.0054854032772079</v>
      </c>
      <c r="F78" s="41">
        <v>7.972759710944E-4</v>
      </c>
      <c r="H78" s="41">
        <v>5337.0</v>
      </c>
      <c r="I78" s="41">
        <v>248.262660037999</v>
      </c>
      <c r="J78" s="41">
        <v>0.0028589033562776</v>
      </c>
      <c r="K78" s="41">
        <v>0.0029285301056708</v>
      </c>
      <c r="L78" s="41">
        <v>0.0045688686550919</v>
      </c>
      <c r="M78" s="41">
        <v>6.889952854777E-4</v>
      </c>
      <c r="O78" s="41">
        <v>6561.0</v>
      </c>
      <c r="P78" s="41">
        <v>365.314320495002</v>
      </c>
      <c r="Q78" s="41">
        <v>0.0017155741506628</v>
      </c>
      <c r="R78" s="41">
        <v>0.0043089061349861</v>
      </c>
      <c r="S78" s="41">
        <v>0.007041860911262</v>
      </c>
      <c r="T78" s="41">
        <v>0.0010137470519444</v>
      </c>
    </row>
    <row r="79">
      <c r="A79" s="41">
        <v>3951.0</v>
      </c>
      <c r="B79" s="41">
        <v>213.999728671002</v>
      </c>
      <c r="C79" s="41">
        <v>0.0025107912604904</v>
      </c>
      <c r="D79" s="41">
        <v>0.0025238790939125</v>
      </c>
      <c r="E79" s="41">
        <v>0.004071926313094</v>
      </c>
      <c r="F79" s="41">
        <v>5.937788722583E-4</v>
      </c>
      <c r="H79" s="41">
        <v>5392.0</v>
      </c>
      <c r="I79" s="41">
        <v>262.569570318002</v>
      </c>
      <c r="J79" s="41">
        <v>0.0030202400418109</v>
      </c>
      <c r="K79" s="41">
        <v>0.003096667389132</v>
      </c>
      <c r="L79" s="41">
        <v>0.0048231746918699</v>
      </c>
      <c r="M79" s="41">
        <v>7.285352914638E-4</v>
      </c>
      <c r="O79" s="41">
        <v>6835.0</v>
      </c>
      <c r="P79" s="41">
        <v>400.654860539001</v>
      </c>
      <c r="Q79" s="41">
        <v>0.0018819055512388</v>
      </c>
      <c r="R79" s="41">
        <v>0.0047250583134986</v>
      </c>
      <c r="S79" s="41">
        <v>0.007726646181312</v>
      </c>
      <c r="T79" s="41">
        <v>0.0011115959960305</v>
      </c>
    </row>
    <row r="80">
      <c r="A80" s="41">
        <v>5807.0</v>
      </c>
      <c r="B80" s="41">
        <v>371.527099440001</v>
      </c>
      <c r="C80" s="41">
        <v>0.0043634654637392</v>
      </c>
      <c r="D80" s="41">
        <v>0.0043820312682701</v>
      </c>
      <c r="E80" s="41">
        <v>0.0070817398320539</v>
      </c>
      <c r="F80" s="41">
        <v>0.0010308966941972</v>
      </c>
      <c r="H80" s="41">
        <v>6191.0</v>
      </c>
      <c r="I80" s="41">
        <v>308.071327260997</v>
      </c>
      <c r="J80" s="41">
        <v>0.003548408150238</v>
      </c>
      <c r="K80" s="41">
        <v>0.0036329899348875</v>
      </c>
      <c r="L80" s="41">
        <v>0.0056731009273659</v>
      </c>
      <c r="M80" s="41">
        <v>8.546819008249E-4</v>
      </c>
      <c r="O80" s="41">
        <v>7307.0</v>
      </c>
      <c r="P80" s="41">
        <v>425.52620154</v>
      </c>
      <c r="Q80" s="41">
        <v>0.0019987698977153</v>
      </c>
      <c r="R80" s="41">
        <v>0.0050182384973202</v>
      </c>
      <c r="S80" s="41">
        <v>0.0082067307320459</v>
      </c>
      <c r="T80" s="41">
        <v>0.0011805978921694</v>
      </c>
    </row>
    <row r="81">
      <c r="A81" s="41">
        <v>4419.0</v>
      </c>
      <c r="B81" s="41">
        <v>252.369519872001</v>
      </c>
      <c r="C81" s="41">
        <v>0.0029507686062202</v>
      </c>
      <c r="D81" s="41">
        <v>0.0029764802877265</v>
      </c>
      <c r="E81" s="41">
        <v>0.0047727332626279</v>
      </c>
      <c r="F81" s="41">
        <v>7.002342061611E-4</v>
      </c>
      <c r="H81" s="41">
        <v>5547.0</v>
      </c>
      <c r="I81" s="41">
        <v>267.147841809</v>
      </c>
      <c r="J81" s="41">
        <v>0.003070957822913</v>
      </c>
      <c r="K81" s="41">
        <v>0.0031508519340597</v>
      </c>
      <c r="L81" s="41">
        <v>0.004901484198962</v>
      </c>
      <c r="M81" s="41">
        <v>7.412702624333E-4</v>
      </c>
      <c r="O81" s="41">
        <v>7046.0</v>
      </c>
      <c r="P81" s="41">
        <v>409.827177006001</v>
      </c>
      <c r="Q81" s="41">
        <v>0.0019248845544975</v>
      </c>
      <c r="R81" s="41">
        <v>0.0048327853314285</v>
      </c>
      <c r="S81" s="41">
        <v>0.0079033243782099</v>
      </c>
      <c r="T81" s="41">
        <v>0.0011369497569444</v>
      </c>
    </row>
    <row r="82">
      <c r="A82" s="41">
        <v>5375.0</v>
      </c>
      <c r="B82" s="41">
        <v>353.830176209998</v>
      </c>
      <c r="C82" s="41">
        <v>0.0041541146689565</v>
      </c>
      <c r="D82" s="41">
        <v>0.0041732050834805</v>
      </c>
      <c r="E82" s="41">
        <v>0.006740235392184</v>
      </c>
      <c r="F82" s="41">
        <v>9.817568623888E-4</v>
      </c>
      <c r="H82" s="41">
        <v>5671.0</v>
      </c>
      <c r="I82" s="41">
        <v>293.795415799002</v>
      </c>
      <c r="J82" s="41">
        <v>0.0033792142822948</v>
      </c>
      <c r="K82" s="41">
        <v>0.003465454321766</v>
      </c>
      <c r="L82" s="41">
        <v>0.005395555983108</v>
      </c>
      <c r="M82" s="41">
        <v>8.152802982361E-4</v>
      </c>
      <c r="O82" s="41">
        <v>5839.0</v>
      </c>
      <c r="P82" s="41">
        <v>331.122544701996</v>
      </c>
      <c r="Q82" s="41">
        <v>0.0015546494199359</v>
      </c>
      <c r="R82" s="41">
        <v>0.0039054193264123</v>
      </c>
      <c r="S82" s="41">
        <v>0.0063804917710559</v>
      </c>
      <c r="T82" s="41">
        <v>9.187836475055E-4</v>
      </c>
    </row>
    <row r="83">
      <c r="A83" s="41">
        <v>5706.0</v>
      </c>
      <c r="B83" s="41">
        <v>379.169899385</v>
      </c>
      <c r="C83" s="41">
        <v>0.004458103739104</v>
      </c>
      <c r="D83" s="41">
        <v>0.0044719152490811</v>
      </c>
      <c r="E83" s="41">
        <v>0.0072416785711159</v>
      </c>
      <c r="F83" s="41">
        <v>0.0010520681694555</v>
      </c>
      <c r="H83" s="41">
        <v>5421.0</v>
      </c>
      <c r="I83" s="41">
        <v>271.849122625</v>
      </c>
      <c r="J83" s="41">
        <v>0.0031250865280827</v>
      </c>
      <c r="K83" s="41">
        <v>0.0032067896589069</v>
      </c>
      <c r="L83" s="41">
        <v>0.0049873981565819</v>
      </c>
      <c r="M83" s="41">
        <v>7.544146936888E-4</v>
      </c>
      <c r="O83" s="41">
        <v>5893.0</v>
      </c>
      <c r="P83" s="41">
        <v>334.240864979998</v>
      </c>
      <c r="Q83" s="41">
        <v>0.0015689604141466</v>
      </c>
      <c r="R83" s="41">
        <v>0.0039422935198597</v>
      </c>
      <c r="S83" s="41">
        <v>0.0064380734837879</v>
      </c>
      <c r="T83" s="41">
        <v>9.27470173036E-4</v>
      </c>
    </row>
    <row r="84">
      <c r="A84" s="41">
        <v>5098.0</v>
      </c>
      <c r="B84" s="41">
        <v>321.667625172998</v>
      </c>
      <c r="C84" s="41">
        <v>0.0037777968518054</v>
      </c>
      <c r="D84" s="41">
        <v>0.0037939715657167</v>
      </c>
      <c r="E84" s="41">
        <v>0.0061311171271121</v>
      </c>
      <c r="F84" s="41">
        <v>8.925325421166E-4</v>
      </c>
      <c r="H84" s="41">
        <v>5131.0</v>
      </c>
      <c r="I84" s="41">
        <v>248.282066620999</v>
      </c>
      <c r="J84" s="41">
        <v>0.0028495377121322</v>
      </c>
      <c r="K84" s="41">
        <v>0.0029284203912714</v>
      </c>
      <c r="L84" s="41">
        <v>0.004542206967096</v>
      </c>
      <c r="M84" s="41">
        <v>6.889484138999E-4</v>
      </c>
      <c r="O84" s="41">
        <v>6319.0</v>
      </c>
      <c r="P84" s="41">
        <v>363.693070522997</v>
      </c>
      <c r="Q84" s="41">
        <v>0.0017073978587967</v>
      </c>
      <c r="R84" s="41">
        <v>0.0042892802497956</v>
      </c>
      <c r="S84" s="41">
        <v>0.0070071989390878</v>
      </c>
      <c r="T84" s="41">
        <v>0.0010091066047472</v>
      </c>
    </row>
    <row r="85">
      <c r="A85" s="41">
        <v>5329.0</v>
      </c>
      <c r="B85" s="41">
        <v>328.890570414998</v>
      </c>
      <c r="C85" s="41">
        <v>0.0038584642075282</v>
      </c>
      <c r="D85" s="41">
        <v>0.0038785493399042</v>
      </c>
      <c r="E85" s="41">
        <v>0.00625759111718</v>
      </c>
      <c r="F85" s="41">
        <v>9.124696146E-4</v>
      </c>
      <c r="H85" s="41">
        <v>6487.0</v>
      </c>
      <c r="I85" s="41">
        <v>332.783212580998</v>
      </c>
      <c r="J85" s="41">
        <v>0.0038278144965802</v>
      </c>
      <c r="K85" s="41">
        <v>0.0039242237655464</v>
      </c>
      <c r="L85" s="41">
        <v>0.006113395724046</v>
      </c>
      <c r="M85" s="41">
        <v>9.23225946511E-4</v>
      </c>
      <c r="O85" s="41">
        <v>7022.0</v>
      </c>
      <c r="P85" s="41">
        <v>404.239830942999</v>
      </c>
      <c r="Q85" s="41">
        <v>0.0018985160123488</v>
      </c>
      <c r="R85" s="41">
        <v>0.0047672648717175</v>
      </c>
      <c r="S85" s="41">
        <v>0.0077942956798758</v>
      </c>
      <c r="T85" s="41">
        <v>0.0011214551264305</v>
      </c>
    </row>
    <row r="86">
      <c r="A86" s="41">
        <v>4491.0</v>
      </c>
      <c r="B86" s="41">
        <v>235.272839997</v>
      </c>
      <c r="C86" s="41">
        <v>0.0027630756296722</v>
      </c>
      <c r="D86" s="41">
        <v>0.0027748986516855</v>
      </c>
      <c r="E86" s="41">
        <v>0.0044842883096499</v>
      </c>
      <c r="F86" s="41">
        <v>6.528069276472E-4</v>
      </c>
      <c r="H86" s="41">
        <v>5686.0</v>
      </c>
      <c r="I86" s="41">
        <v>259.484002738001</v>
      </c>
      <c r="J86" s="41">
        <v>0.0029767335481268</v>
      </c>
      <c r="K86" s="41">
        <v>0.0030602348643619</v>
      </c>
      <c r="L86" s="41">
        <v>0.004743637406018</v>
      </c>
      <c r="M86" s="41">
        <v>7.199254096361E-4</v>
      </c>
      <c r="O86" s="41">
        <v>6740.0</v>
      </c>
      <c r="P86" s="41">
        <v>361.171017759999</v>
      </c>
      <c r="Q86" s="41">
        <v>0.0016963533233382</v>
      </c>
      <c r="R86" s="41">
        <v>0.0042597070182396</v>
      </c>
      <c r="S86" s="41">
        <v>0.006964116404622</v>
      </c>
      <c r="T86" s="41">
        <v>0.0010021620140416</v>
      </c>
    </row>
    <row r="87">
      <c r="A87" s="41">
        <v>5981.0</v>
      </c>
      <c r="B87" s="41">
        <v>377.514097188999</v>
      </c>
      <c r="C87" s="41">
        <v>0.0044353246714052</v>
      </c>
      <c r="D87" s="41">
        <v>0.0044526273315173</v>
      </c>
      <c r="E87" s="41">
        <v>0.0072002649268739</v>
      </c>
      <c r="F87" s="41">
        <v>0.0010475424741805</v>
      </c>
      <c r="H87" s="41">
        <v>6467.0</v>
      </c>
      <c r="I87" s="41">
        <v>321.249104296002</v>
      </c>
      <c r="J87" s="41">
        <v>0.0037005503076505</v>
      </c>
      <c r="K87" s="41">
        <v>0.0037885813921853</v>
      </c>
      <c r="L87" s="41">
        <v>0.005916536122114</v>
      </c>
      <c r="M87" s="41">
        <v>8.91310287236E-4</v>
      </c>
      <c r="O87" s="41">
        <v>6477.0</v>
      </c>
      <c r="P87" s="41">
        <v>349.731052168997</v>
      </c>
      <c r="Q87" s="41">
        <v>0.0016420934720724</v>
      </c>
      <c r="R87" s="41">
        <v>0.004124863798091</v>
      </c>
      <c r="S87" s="41">
        <v>0.0067396451139338</v>
      </c>
      <c r="T87" s="41">
        <v>9.704140367416E-4</v>
      </c>
    </row>
    <row r="88">
      <c r="A88" s="41">
        <v>5029.0</v>
      </c>
      <c r="B88" s="41">
        <v>306.178345186999</v>
      </c>
      <c r="C88" s="41">
        <v>0.0035950002019589</v>
      </c>
      <c r="D88" s="41">
        <v>0.0036110793563722</v>
      </c>
      <c r="E88" s="41">
        <v>0.00583357688908</v>
      </c>
      <c r="F88" s="41">
        <v>8.495316237972E-4</v>
      </c>
      <c r="H88" s="41">
        <v>5829.0</v>
      </c>
      <c r="I88" s="41">
        <v>293.306302657001</v>
      </c>
      <c r="J88" s="41">
        <v>0.0033650379332377</v>
      </c>
      <c r="K88" s="41">
        <v>0.0034592154826284</v>
      </c>
      <c r="L88" s="41">
        <v>0.0053626979012659</v>
      </c>
      <c r="M88" s="41">
        <v>8.137836191333E-4</v>
      </c>
      <c r="O88" s="41">
        <v>6254.0</v>
      </c>
      <c r="P88" s="41">
        <v>345.364072093998</v>
      </c>
      <c r="Q88" s="41">
        <v>0.0016221743651369</v>
      </c>
      <c r="R88" s="41">
        <v>0.0040724175071416</v>
      </c>
      <c r="S88" s="41">
        <v>0.0066608525508999</v>
      </c>
      <c r="T88" s="41">
        <v>9.580915771944E-4</v>
      </c>
    </row>
    <row r="89">
      <c r="A89" s="41">
        <v>5952.0</v>
      </c>
      <c r="B89" s="41">
        <v>394.902400016999</v>
      </c>
      <c r="C89" s="41">
        <v>0.0046395944653859</v>
      </c>
      <c r="D89" s="41">
        <v>0.0046573941210624</v>
      </c>
      <c r="E89" s="41">
        <v>0.0075322424146779</v>
      </c>
      <c r="F89" s="41">
        <v>0.0010957193420666</v>
      </c>
      <c r="H89" s="41">
        <v>5762.0</v>
      </c>
      <c r="I89" s="41">
        <v>288.243337537001</v>
      </c>
      <c r="J89" s="41">
        <v>0.0033056262684313</v>
      </c>
      <c r="K89" s="41">
        <v>0.0033997897331269</v>
      </c>
      <c r="L89" s="41">
        <v>0.0052659403238599</v>
      </c>
      <c r="M89" s="41">
        <v>7.998432173111E-4</v>
      </c>
      <c r="O89" s="41">
        <v>6751.0</v>
      </c>
      <c r="P89" s="41">
        <v>388.140677534996</v>
      </c>
      <c r="Q89" s="41">
        <v>0.0018227543571803</v>
      </c>
      <c r="R89" s="41">
        <v>0.0045770183449431</v>
      </c>
      <c r="S89" s="41">
        <v>0.0074831851532098</v>
      </c>
      <c r="T89" s="41">
        <v>0.0010767815387167</v>
      </c>
    </row>
    <row r="90">
      <c r="A90" s="41">
        <v>5396.0</v>
      </c>
      <c r="B90" s="41">
        <v>350.375839080003</v>
      </c>
      <c r="C90" s="41">
        <v>0.0041163778556726</v>
      </c>
      <c r="D90" s="41">
        <v>0.0041311117062915</v>
      </c>
      <c r="E90" s="41">
        <v>0.0066841506250939</v>
      </c>
      <c r="F90" s="41">
        <v>9.718766412416E-4</v>
      </c>
      <c r="H90" s="41">
        <v>5159.0</v>
      </c>
      <c r="I90" s="41">
        <v>254.616821784002</v>
      </c>
      <c r="J90" s="41">
        <v>0.0029094682932098</v>
      </c>
      <c r="K90" s="41">
        <v>0.0030032364514076</v>
      </c>
      <c r="L90" s="41">
        <v>0.0046214175860199</v>
      </c>
      <c r="M90" s="41">
        <v>7.065313665694E-4</v>
      </c>
      <c r="O90" s="41">
        <v>6322.0</v>
      </c>
      <c r="P90" s="41">
        <v>362.473276894001</v>
      </c>
      <c r="Q90" s="41">
        <v>0.0017019253817757</v>
      </c>
      <c r="R90" s="41">
        <v>0.0042740451026943</v>
      </c>
      <c r="S90" s="41">
        <v>0.0069866092003939</v>
      </c>
      <c r="T90" s="41">
        <v>0.001005490164586</v>
      </c>
    </row>
    <row r="91">
      <c r="A91" s="41">
        <v>5033.0</v>
      </c>
      <c r="B91" s="41">
        <v>316.725192091002</v>
      </c>
      <c r="C91" s="41">
        <v>0.0037187678548414</v>
      </c>
      <c r="D91" s="41">
        <v>0.0037348580308249</v>
      </c>
      <c r="E91" s="41">
        <v>0.0060350576058201</v>
      </c>
      <c r="F91" s="41">
        <v>8.786776288027E-4</v>
      </c>
      <c r="H91" s="41">
        <v>5738.0</v>
      </c>
      <c r="I91" s="41">
        <v>290.492526807</v>
      </c>
      <c r="J91" s="41">
        <v>0.0033308734888804</v>
      </c>
      <c r="K91" s="41">
        <v>0.0034258025399333</v>
      </c>
      <c r="L91" s="41">
        <v>0.0053061003559879</v>
      </c>
      <c r="M91" s="41">
        <v>8.059651254916E-4</v>
      </c>
      <c r="O91" s="41">
        <v>6202.0</v>
      </c>
      <c r="P91" s="41">
        <v>351.324513763996</v>
      </c>
      <c r="Q91" s="41">
        <v>0.0016497025248881</v>
      </c>
      <c r="R91" s="41">
        <v>0.0041425883437219</v>
      </c>
      <c r="S91" s="41">
        <v>0.0067726093069718</v>
      </c>
      <c r="T91" s="41">
        <v>9.745653880667E-4</v>
      </c>
    </row>
    <row r="92">
      <c r="A92" s="41">
        <v>4921.0</v>
      </c>
      <c r="B92" s="41">
        <v>308.091478891998</v>
      </c>
      <c r="C92" s="41">
        <v>0.0036146635791756</v>
      </c>
      <c r="D92" s="41">
        <v>0.0036337850804916</v>
      </c>
      <c r="E92" s="41">
        <v>0.005861816911672</v>
      </c>
      <c r="F92" s="41">
        <v>8.54891436986E-4</v>
      </c>
      <c r="H92" s="41">
        <v>5273.0</v>
      </c>
      <c r="I92" s="41">
        <v>258.198725949998</v>
      </c>
      <c r="J92" s="41">
        <v>0.002959687195678</v>
      </c>
      <c r="K92" s="41">
        <v>0.0030450879093644</v>
      </c>
      <c r="L92" s="41">
        <v>0.0047135132152519</v>
      </c>
      <c r="M92" s="41">
        <v>7.163847766138E-4</v>
      </c>
      <c r="O92" s="41">
        <v>6257.0</v>
      </c>
      <c r="P92" s="41">
        <v>358.226994780001</v>
      </c>
      <c r="Q92" s="41">
        <v>0.0016825723007841</v>
      </c>
      <c r="R92" s="41">
        <v>0.0042253983392403</v>
      </c>
      <c r="S92" s="41">
        <v>0.006907204970204</v>
      </c>
      <c r="T92" s="41">
        <v>9.940593161472E-4</v>
      </c>
    </row>
    <row r="93">
      <c r="A93" s="41">
        <v>5311.0</v>
      </c>
      <c r="B93" s="41">
        <v>339.864803612999</v>
      </c>
      <c r="C93" s="41">
        <v>0.0039899850752465</v>
      </c>
      <c r="D93" s="41">
        <v>0.0040084397221699</v>
      </c>
      <c r="E93" s="41">
        <v>0.0064737582345579</v>
      </c>
      <c r="F93" s="41">
        <v>9.430186365027E-4</v>
      </c>
      <c r="H93" s="41">
        <v>5568.0</v>
      </c>
      <c r="I93" s="41">
        <v>278.462643284998</v>
      </c>
      <c r="J93" s="41">
        <v>0.0031865148751697</v>
      </c>
      <c r="K93" s="41">
        <v>0.0032844258373201</v>
      </c>
      <c r="L93" s="41">
        <v>0.005067389053908</v>
      </c>
      <c r="M93" s="41">
        <v>7.726860629805E-4</v>
      </c>
      <c r="O93" s="41">
        <v>7013.0</v>
      </c>
      <c r="P93" s="41">
        <v>419.455623005997</v>
      </c>
      <c r="Q93" s="41">
        <v>0.0019696061315649</v>
      </c>
      <c r="R93" s="41">
        <v>0.0049472708385225</v>
      </c>
      <c r="S93" s="41">
        <v>0.008084221467372</v>
      </c>
      <c r="T93" s="41">
        <v>0.0011638852429056</v>
      </c>
    </row>
    <row r="94">
      <c r="A94" s="41">
        <v>4485.0</v>
      </c>
      <c r="B94" s="41">
        <v>248.255695821997</v>
      </c>
      <c r="C94" s="41">
        <v>0.0029074426602494</v>
      </c>
      <c r="D94" s="41">
        <v>0.0029280700586597</v>
      </c>
      <c r="E94" s="41">
        <v>0.0047084398778598</v>
      </c>
      <c r="F94" s="41">
        <v>6.888751211416E-4</v>
      </c>
      <c r="H94" s="41">
        <v>5668.0</v>
      </c>
      <c r="I94" s="41">
        <v>270.405530989002</v>
      </c>
      <c r="J94" s="41">
        <v>0.0030949395361709</v>
      </c>
      <c r="K94" s="41">
        <v>0.0031892900799306</v>
      </c>
      <c r="L94" s="41">
        <v>0.00492266921591</v>
      </c>
      <c r="M94" s="41">
        <v>7.503181004027E-4</v>
      </c>
      <c r="O94" s="41">
        <v>6756.0</v>
      </c>
      <c r="P94" s="41">
        <v>372.563512169996</v>
      </c>
      <c r="Q94" s="41">
        <v>0.0017491959285063</v>
      </c>
      <c r="R94" s="41">
        <v>0.0043940949543046</v>
      </c>
      <c r="S94" s="41">
        <v>0.007178953798714</v>
      </c>
      <c r="T94" s="41">
        <v>0.0010337847727499</v>
      </c>
    </row>
    <row r="95">
      <c r="A95" s="41">
        <v>5843.0</v>
      </c>
      <c r="B95" s="41">
        <v>372.552401377</v>
      </c>
      <c r="C95" s="41">
        <v>0.004372557459266</v>
      </c>
      <c r="D95" s="41">
        <v>0.0043944862590297</v>
      </c>
      <c r="E95" s="41">
        <v>0.0070923745627839</v>
      </c>
      <c r="F95" s="41">
        <v>0.0010338416611083</v>
      </c>
      <c r="H95" s="41">
        <v>5609.0</v>
      </c>
      <c r="I95" s="41">
        <v>266.466099584002</v>
      </c>
      <c r="J95" s="41">
        <v>0.0030560814126314</v>
      </c>
      <c r="K95" s="41">
        <v>0.0031429046550361</v>
      </c>
      <c r="L95" s="41">
        <v>0.004868711394966</v>
      </c>
      <c r="M95" s="41">
        <v>7.393921385944E-4</v>
      </c>
      <c r="O95" s="41">
        <v>7450.0</v>
      </c>
      <c r="P95" s="41">
        <v>429.245783735001</v>
      </c>
      <c r="Q95" s="41">
        <v>0.0020167569302753</v>
      </c>
      <c r="R95" s="41">
        <v>0.0050624909695079</v>
      </c>
      <c r="S95" s="41">
        <v>0.0082817646809619</v>
      </c>
      <c r="T95" s="41">
        <v>0.0011909479065332</v>
      </c>
    </row>
    <row r="96">
      <c r="A96" s="41">
        <v>6202.0</v>
      </c>
      <c r="B96" s="41">
        <v>398.123054940002</v>
      </c>
      <c r="C96" s="41">
        <v>0.0046731324446874</v>
      </c>
      <c r="D96" s="41">
        <v>0.0046952262951332</v>
      </c>
      <c r="E96" s="41">
        <v>0.0075815624541339</v>
      </c>
      <c r="F96" s="41">
        <v>0.0011046022440583</v>
      </c>
      <c r="H96" s="41">
        <v>6031.0</v>
      </c>
      <c r="I96" s="41">
        <v>291.214589203998</v>
      </c>
      <c r="J96" s="41">
        <v>0.0033373993315909</v>
      </c>
      <c r="K96" s="41">
        <v>0.0034344076840006</v>
      </c>
      <c r="L96" s="41">
        <v>0.005314162862438</v>
      </c>
      <c r="M96" s="41">
        <v>8.079840527472E-4</v>
      </c>
      <c r="O96" s="41">
        <v>7384.0</v>
      </c>
      <c r="P96" s="41">
        <v>418.515201804002</v>
      </c>
      <c r="Q96" s="41">
        <v>0.0019663002835962</v>
      </c>
      <c r="R96" s="41">
        <v>0.0049359947375185</v>
      </c>
      <c r="S96" s="41">
        <v>0.008074283681644</v>
      </c>
      <c r="T96" s="41">
        <v>0.0011612731680499</v>
      </c>
    </row>
    <row r="97">
      <c r="A97" s="41">
        <v>4981.0</v>
      </c>
      <c r="B97" s="41">
        <v>305.831549526999</v>
      </c>
      <c r="C97" s="41">
        <v>0.0035897296633479</v>
      </c>
      <c r="D97" s="41">
        <v>0.0036066785778471</v>
      </c>
      <c r="E97" s="41">
        <v>0.005823912159126</v>
      </c>
      <c r="F97" s="41">
        <v>8.485050845472E-4</v>
      </c>
      <c r="H97" s="41">
        <v>6179.0</v>
      </c>
      <c r="I97" s="41">
        <v>321.650014353999</v>
      </c>
      <c r="J97" s="41">
        <v>0.0036790863374514</v>
      </c>
      <c r="K97" s="41">
        <v>0.0037934319506187</v>
      </c>
      <c r="L97" s="41">
        <v>0.0058490785681479</v>
      </c>
      <c r="M97" s="41">
        <v>8.924557725499E-4</v>
      </c>
      <c r="O97" s="41">
        <v>6874.0</v>
      </c>
      <c r="P97" s="41">
        <v>396.567731891002</v>
      </c>
      <c r="Q97" s="41">
        <v>0.0018631898763546</v>
      </c>
      <c r="R97" s="41">
        <v>0.0046771053225001</v>
      </c>
      <c r="S97" s="41">
        <v>0.0076509605652079</v>
      </c>
      <c r="T97" s="41">
        <v>0.0011003466847805</v>
      </c>
    </row>
    <row r="98">
      <c r="A98" s="41">
        <v>7193.0</v>
      </c>
      <c r="B98" s="41">
        <v>502.965971711004</v>
      </c>
      <c r="C98" s="41">
        <v>0.0059121880604099</v>
      </c>
      <c r="D98" s="41">
        <v>0.0059314748142344</v>
      </c>
      <c r="E98" s="41">
        <v>0.009602472126416</v>
      </c>
      <c r="F98" s="41">
        <v>0.0013954469934665</v>
      </c>
      <c r="H98" s="41">
        <v>5798.0</v>
      </c>
      <c r="I98" s="41">
        <v>290.753155006001</v>
      </c>
      <c r="J98" s="41">
        <v>0.0033289818467441</v>
      </c>
      <c r="K98" s="41">
        <v>0.0034285814721568</v>
      </c>
      <c r="L98" s="41">
        <v>0.00529727090448</v>
      </c>
      <c r="M98" s="41">
        <v>8.065989776166E-4</v>
      </c>
      <c r="O98" s="41">
        <v>7324.0</v>
      </c>
      <c r="P98" s="41">
        <v>429.483901684994</v>
      </c>
      <c r="Q98" s="41">
        <v>0.0020174554942347</v>
      </c>
      <c r="R98" s="41">
        <v>0.0050645931394411</v>
      </c>
      <c r="S98" s="41">
        <v>0.0082841391273059</v>
      </c>
      <c r="T98" s="41">
        <v>0.0011915059918583</v>
      </c>
    </row>
    <row r="99">
      <c r="A99" s="41">
        <v>4958.0</v>
      </c>
      <c r="B99" s="41">
        <v>300.811782732002</v>
      </c>
      <c r="C99" s="41">
        <v>0.003531972716658</v>
      </c>
      <c r="D99" s="41">
        <v>0.0035480793236143</v>
      </c>
      <c r="E99" s="41">
        <v>0.0057309270847379</v>
      </c>
      <c r="F99" s="41">
        <v>8.347039259416E-4</v>
      </c>
      <c r="H99" s="41">
        <v>5432.0</v>
      </c>
      <c r="I99" s="41">
        <v>264.860985570998</v>
      </c>
      <c r="J99" s="41">
        <v>0.0030242191236873</v>
      </c>
      <c r="K99" s="41">
        <v>0.0031239029645125</v>
      </c>
      <c r="L99" s="41">
        <v>0.004800928007406</v>
      </c>
      <c r="M99" s="41">
        <v>7.349403961194E-4</v>
      </c>
      <c r="O99" s="41">
        <v>6306.0</v>
      </c>
      <c r="P99" s="41">
        <v>348.189848467001</v>
      </c>
      <c r="Q99" s="41">
        <v>0.0016351598319881</v>
      </c>
      <c r="R99" s="41">
        <v>0.0041062406053186</v>
      </c>
      <c r="S99" s="41">
        <v>0.0067126434256661</v>
      </c>
      <c r="T99" s="41">
        <v>9.660666734804E-4</v>
      </c>
    </row>
    <row r="100">
      <c r="A100" s="41">
        <v>3461.0</v>
      </c>
      <c r="B100" s="41">
        <v>245.246852173993</v>
      </c>
      <c r="C100" s="41">
        <v>0.00288524975868577</v>
      </c>
      <c r="D100" s="41">
        <v>0.00289195840198299</v>
      </c>
      <c r="E100" s="41">
        <v>0.00468950264048795</v>
      </c>
      <c r="F100" s="41">
        <v>6.80375229313863E-4</v>
      </c>
      <c r="H100" s="41">
        <v>2158.0</v>
      </c>
      <c r="I100" s="41">
        <v>95.1211924999988</v>
      </c>
      <c r="J100" s="41">
        <v>0.00109107139792527</v>
      </c>
      <c r="K100" s="41">
        <v>0.0011217587714049</v>
      </c>
      <c r="L100" s="41">
        <v>0.00173860222421395</v>
      </c>
      <c r="M100" s="41">
        <v>2.63893056686113E-4</v>
      </c>
      <c r="O100" s="41">
        <v>2951.0</v>
      </c>
      <c r="P100" s="41">
        <v>161.642072818001</v>
      </c>
      <c r="Q100" s="41">
        <v>7.59292949730319E-4</v>
      </c>
      <c r="R100" s="41">
        <v>0.00190587548391677</v>
      </c>
      <c r="S100" s="41">
        <v>0.00311816805008802</v>
      </c>
      <c r="T100" s="41">
        <v>4.48345040963896E-4</v>
      </c>
    </row>
    <row r="101">
      <c r="A101" s="42">
        <v>539914.0</v>
      </c>
      <c r="B101" s="42">
        <v>33479.19</v>
      </c>
      <c r="C101" s="42">
        <v>0.3942037234</v>
      </c>
      <c r="D101" s="42">
        <v>0.3948556234</v>
      </c>
      <c r="E101" s="42">
        <v>0.6410424384</v>
      </c>
      <c r="F101" s="42">
        <v>0.09289386028</v>
      </c>
      <c r="H101" s="42">
        <v>560523.0</v>
      </c>
      <c r="I101" s="42">
        <v>26798.18</v>
      </c>
      <c r="J101" s="42">
        <v>0.3100909135</v>
      </c>
      <c r="K101" s="42">
        <v>0.3160688692</v>
      </c>
      <c r="L101" s="42">
        <v>0.4975099805</v>
      </c>
      <c r="M101" s="42">
        <v>0.0743582687</v>
      </c>
      <c r="O101" s="42">
        <v>644234.0</v>
      </c>
      <c r="P101" s="42">
        <v>36678.12</v>
      </c>
      <c r="Q101" s="42">
        <v>0.1722183077</v>
      </c>
      <c r="R101" s="42">
        <v>0.4325711537</v>
      </c>
      <c r="S101" s="42">
        <v>0.7068771558</v>
      </c>
      <c r="T101" s="42">
        <v>0.1017662969</v>
      </c>
    </row>
  </sheetData>
  <mergeCells count="3">
    <mergeCell ref="A1:F1"/>
    <mergeCell ref="H1:M1"/>
    <mergeCell ref="O1:T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14.63"/>
    <col customWidth="1" min="4" max="4" width="13.75"/>
    <col customWidth="1" min="5" max="5" width="13.88"/>
    <col customWidth="1" min="6" max="6" width="16.0"/>
    <col customWidth="1" min="8" max="8" width="15.25"/>
    <col customWidth="1" min="10" max="10" width="13.75"/>
    <col customWidth="1" min="11" max="11" width="14.25"/>
    <col customWidth="1" min="12" max="12" width="13.88"/>
    <col customWidth="1" min="13" max="13" width="14.75"/>
    <col customWidth="1" min="15" max="15" width="16.0"/>
    <col customWidth="1" min="17" max="17" width="13.75"/>
    <col customWidth="1" min="18" max="18" width="13.88"/>
    <col customWidth="1" min="19" max="19" width="13.63"/>
    <col customWidth="1" min="20" max="20" width="14.88"/>
  </cols>
  <sheetData>
    <row r="1">
      <c r="A1" s="40" t="s">
        <v>9</v>
      </c>
      <c r="H1" s="40" t="s">
        <v>8</v>
      </c>
      <c r="O1" s="40" t="s">
        <v>10</v>
      </c>
    </row>
    <row r="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15</v>
      </c>
      <c r="T2" s="20" t="s">
        <v>16</v>
      </c>
    </row>
    <row r="3">
      <c r="A3" s="41">
        <v>6972.0</v>
      </c>
      <c r="B3" s="41">
        <v>241.772963763</v>
      </c>
      <c r="C3" s="41">
        <v>0.0038159068199648</v>
      </c>
      <c r="D3" s="41">
        <v>0.0028519034101604</v>
      </c>
      <c r="E3" s="41">
        <v>0.00458259533274</v>
      </c>
      <c r="F3" s="41">
        <v>6.709486075027E-4</v>
      </c>
      <c r="H3" s="41">
        <v>8716.0</v>
      </c>
      <c r="I3" s="41">
        <v>245.147086434</v>
      </c>
      <c r="J3" s="41">
        <v>0.0028771993153802</v>
      </c>
      <c r="K3" s="41">
        <v>0.002891699292918</v>
      </c>
      <c r="L3" s="41">
        <v>0.004666782344534</v>
      </c>
      <c r="M3" s="41">
        <v>6.803024031333E-4</v>
      </c>
      <c r="O3" s="41">
        <v>9004.0</v>
      </c>
      <c r="P3" s="41">
        <v>306.089213739</v>
      </c>
      <c r="Q3" s="41">
        <v>0.00484138183716</v>
      </c>
      <c r="R3" s="41">
        <v>0.0036105187873104</v>
      </c>
      <c r="S3" s="41">
        <v>0.005823780492354</v>
      </c>
      <c r="T3" s="41">
        <v>8.493809661388E-4</v>
      </c>
    </row>
    <row r="4">
      <c r="A4" s="41">
        <v>6545.0</v>
      </c>
      <c r="B4" s="41">
        <v>206.338179486</v>
      </c>
      <c r="C4" s="41">
        <v>0.003266205059622</v>
      </c>
      <c r="D4" s="41">
        <v>0.0024339944552486</v>
      </c>
      <c r="E4" s="41">
        <v>0.003931177589384</v>
      </c>
      <c r="F4" s="41">
        <v>5.726423191444E-4</v>
      </c>
      <c r="H4" s="41">
        <v>8865.0</v>
      </c>
      <c r="I4" s="41">
        <v>248.847055204999</v>
      </c>
      <c r="J4" s="41">
        <v>0.0029343228993395</v>
      </c>
      <c r="K4" s="41">
        <v>0.0029353510734708</v>
      </c>
      <c r="L4" s="41">
        <v>0.0047764129877939</v>
      </c>
      <c r="M4" s="41">
        <v>6.905918491416E-4</v>
      </c>
      <c r="O4" s="41">
        <v>9164.0</v>
      </c>
      <c r="P4" s="41">
        <v>314.280167631999</v>
      </c>
      <c r="Q4" s="41">
        <v>0.0049849835912192</v>
      </c>
      <c r="R4" s="41">
        <v>0.0037068772007909</v>
      </c>
      <c r="S4" s="41">
        <v>0.0060097470300159</v>
      </c>
      <c r="T4" s="41">
        <v>8.720834991222E-4</v>
      </c>
    </row>
    <row r="5">
      <c r="A5" s="41">
        <v>7010.0</v>
      </c>
      <c r="B5" s="41">
        <v>242.996459683</v>
      </c>
      <c r="C5" s="41">
        <v>0.0038507929505619</v>
      </c>
      <c r="D5" s="41">
        <v>0.0028661664826111</v>
      </c>
      <c r="E5" s="41">
        <v>0.00463908010015</v>
      </c>
      <c r="F5" s="41">
        <v>6.743031260472E-4</v>
      </c>
      <c r="H5" s="41">
        <v>8933.0</v>
      </c>
      <c r="I5" s="41">
        <v>253.271635914</v>
      </c>
      <c r="J5" s="41">
        <v>0.0029864835858925</v>
      </c>
      <c r="K5" s="41">
        <v>0.0029874216991638</v>
      </c>
      <c r="L5" s="41">
        <v>0.0048614575002739</v>
      </c>
      <c r="M5" s="41">
        <v>7.028374555027E-4</v>
      </c>
      <c r="O5" s="41">
        <v>9582.0</v>
      </c>
      <c r="P5" s="41">
        <v>352.838648624999</v>
      </c>
      <c r="Q5" s="41">
        <v>0.0055994703980583</v>
      </c>
      <c r="R5" s="41">
        <v>0.0041615611783986</v>
      </c>
      <c r="S5" s="41">
        <v>0.0067533209582079</v>
      </c>
      <c r="T5" s="41">
        <v>9.790698498888E-4</v>
      </c>
    </row>
    <row r="6">
      <c r="A6" s="41">
        <v>7802.0</v>
      </c>
      <c r="B6" s="41">
        <v>297.044169739999</v>
      </c>
      <c r="C6" s="41">
        <v>0.004713368218212</v>
      </c>
      <c r="D6" s="41">
        <v>0.0035035249539986</v>
      </c>
      <c r="E6" s="41">
        <v>0.005684013713874</v>
      </c>
      <c r="F6" s="41">
        <v>8.242251770666E-4</v>
      </c>
      <c r="H6" s="41">
        <v>9122.0</v>
      </c>
      <c r="I6" s="41">
        <v>248.891267073</v>
      </c>
      <c r="J6" s="41">
        <v>0.0029346568030292</v>
      </c>
      <c r="K6" s="41">
        <v>0.0029355823944305</v>
      </c>
      <c r="L6" s="41">
        <v>0.004777112988354</v>
      </c>
      <c r="M6" s="41">
        <v>6.906166519944E-4</v>
      </c>
      <c r="O6" s="41">
        <v>10955.0</v>
      </c>
      <c r="P6" s="41">
        <v>459.527235766999</v>
      </c>
      <c r="Q6" s="41">
        <v>0.0073025010213642</v>
      </c>
      <c r="R6" s="41">
        <v>0.0054200029226902</v>
      </c>
      <c r="S6" s="41">
        <v>0.008816289275248</v>
      </c>
      <c r="T6" s="41">
        <v>0.0012751026938999</v>
      </c>
    </row>
    <row r="7">
      <c r="A7" s="41">
        <v>6400.0</v>
      </c>
      <c r="B7" s="41">
        <v>201.850992546</v>
      </c>
      <c r="C7" s="41">
        <v>0.003188942373842</v>
      </c>
      <c r="D7" s="41">
        <v>0.0023809120827013</v>
      </c>
      <c r="E7" s="41">
        <v>0.003832643066112</v>
      </c>
      <c r="F7" s="41">
        <v>5.601439308944E-4</v>
      </c>
      <c r="H7" s="41">
        <v>8358.0</v>
      </c>
      <c r="I7" s="41">
        <v>222.723903305</v>
      </c>
      <c r="J7" s="41">
        <v>0.0026270385791016</v>
      </c>
      <c r="K7" s="41">
        <v>0.0026270324764437</v>
      </c>
      <c r="L7" s="41">
        <v>0.004277372033006</v>
      </c>
      <c r="M7" s="41">
        <v>6.180508879944E-4</v>
      </c>
      <c r="O7" s="41">
        <v>9161.0</v>
      </c>
      <c r="P7" s="41">
        <v>329.541061991</v>
      </c>
      <c r="Q7" s="41">
        <v>0.0052277593766881</v>
      </c>
      <c r="R7" s="41">
        <v>0.003886862895084</v>
      </c>
      <c r="S7" s="41">
        <v>0.006303103098034</v>
      </c>
      <c r="T7" s="41">
        <v>9.144268517555E-4</v>
      </c>
    </row>
    <row r="8">
      <c r="A8" s="41">
        <v>6365.0</v>
      </c>
      <c r="B8" s="41">
        <v>193.459670993999</v>
      </c>
      <c r="C8" s="41">
        <v>0.0030624100244287</v>
      </c>
      <c r="D8" s="41">
        <v>0.0022818685131645</v>
      </c>
      <c r="E8" s="41">
        <v>0.003686219337862</v>
      </c>
      <c r="F8" s="41">
        <v>5.368412233638E-4</v>
      </c>
      <c r="H8" s="41">
        <v>8611.0</v>
      </c>
      <c r="I8" s="41">
        <v>237.949133747999</v>
      </c>
      <c r="J8" s="41">
        <v>0.0028045788235348</v>
      </c>
      <c r="K8" s="41">
        <v>0.0028067580263951</v>
      </c>
      <c r="L8" s="41">
        <v>0.00456376476212</v>
      </c>
      <c r="M8" s="41">
        <v>6.603143969333E-4</v>
      </c>
      <c r="O8" s="41">
        <v>8904.0</v>
      </c>
      <c r="P8" s="41">
        <v>305.022254984</v>
      </c>
      <c r="Q8" s="41">
        <v>0.0048362119778311</v>
      </c>
      <c r="R8" s="41">
        <v>0.0035975663176409</v>
      </c>
      <c r="S8" s="41">
        <v>0.005828763274118</v>
      </c>
      <c r="T8" s="41">
        <v>8.463692479E-4</v>
      </c>
    </row>
    <row r="9">
      <c r="A9" s="41">
        <v>6728.0</v>
      </c>
      <c r="B9" s="41">
        <v>215.390105104999</v>
      </c>
      <c r="C9" s="41">
        <v>0.0034126418820358</v>
      </c>
      <c r="D9" s="41">
        <v>0.0025404907687444</v>
      </c>
      <c r="E9" s="41">
        <v>0.004110736899698</v>
      </c>
      <c r="F9" s="41">
        <v>5.976362073472E-4</v>
      </c>
      <c r="H9" s="41">
        <v>9219.0</v>
      </c>
      <c r="I9" s="41">
        <v>271.121646895999</v>
      </c>
      <c r="J9" s="41">
        <v>0.0031975012397687</v>
      </c>
      <c r="K9" s="41">
        <v>0.0031976285550208</v>
      </c>
      <c r="L9" s="41">
        <v>0.005206061942624</v>
      </c>
      <c r="M9" s="41">
        <v>7.522696206333E-4</v>
      </c>
      <c r="O9" s="41">
        <v>8791.0</v>
      </c>
      <c r="P9" s="41">
        <v>280.644415329999</v>
      </c>
      <c r="Q9" s="41">
        <v>0.0044452248537162</v>
      </c>
      <c r="R9" s="41">
        <v>0.0033101871933131</v>
      </c>
      <c r="S9" s="41">
        <v>0.005353241227034</v>
      </c>
      <c r="T9" s="41">
        <v>7.787665053749E-4</v>
      </c>
    </row>
    <row r="10">
      <c r="A10" s="41">
        <v>6679.0</v>
      </c>
      <c r="B10" s="41">
        <v>212.844269804999</v>
      </c>
      <c r="C10" s="41">
        <v>0.0033698820872946</v>
      </c>
      <c r="D10" s="41">
        <v>0.0025107505617479</v>
      </c>
      <c r="E10" s="41">
        <v>0.00405659630083</v>
      </c>
      <c r="F10" s="41">
        <v>5.906900403999E-4</v>
      </c>
      <c r="H10" s="41">
        <v>8619.0</v>
      </c>
      <c r="I10" s="41">
        <v>235.359672191</v>
      </c>
      <c r="J10" s="41">
        <v>0.0027724163320615</v>
      </c>
      <c r="K10" s="41">
        <v>0.0027763747015361</v>
      </c>
      <c r="L10" s="41">
        <v>0.004509177774006</v>
      </c>
      <c r="M10" s="41">
        <v>6.531882673555E-4</v>
      </c>
      <c r="O10" s="41">
        <v>9209.0</v>
      </c>
      <c r="P10" s="41">
        <v>326.931662505</v>
      </c>
      <c r="Q10" s="41">
        <v>0.0051821592084426</v>
      </c>
      <c r="R10" s="41">
        <v>0.0038559802842389</v>
      </c>
      <c r="S10" s="41">
        <v>0.006244416662196</v>
      </c>
      <c r="T10" s="41">
        <v>9.071356289611E-4</v>
      </c>
    </row>
    <row r="11">
      <c r="A11" s="41">
        <v>6312.0</v>
      </c>
      <c r="B11" s="41">
        <v>207.984737382999</v>
      </c>
      <c r="C11" s="41">
        <v>0.0032798906068037</v>
      </c>
      <c r="D11" s="41">
        <v>0.0024530861267958</v>
      </c>
      <c r="E11" s="41">
        <v>0.003936676204894</v>
      </c>
      <c r="F11" s="41">
        <v>5.771217886027E-4</v>
      </c>
      <c r="H11" s="41">
        <v>8130.0</v>
      </c>
      <c r="I11" s="41">
        <v>219.893982428999</v>
      </c>
      <c r="J11" s="41">
        <v>0.0025905390640146</v>
      </c>
      <c r="K11" s="41">
        <v>0.0025935196348305</v>
      </c>
      <c r="L11" s="41">
        <v>0.004214253649178</v>
      </c>
      <c r="M11" s="41">
        <v>6.101667186277E-4</v>
      </c>
      <c r="O11" s="41">
        <v>8512.0</v>
      </c>
      <c r="P11" s="41">
        <v>289.667945198999</v>
      </c>
      <c r="Q11" s="41">
        <v>0.0045860852849541</v>
      </c>
      <c r="R11" s="41">
        <v>0.0034163250305715</v>
      </c>
      <c r="S11" s="41">
        <v>0.0055213458059619</v>
      </c>
      <c r="T11" s="41">
        <v>8.037286722722E-4</v>
      </c>
    </row>
    <row r="12">
      <c r="A12" s="41">
        <v>6373.0</v>
      </c>
      <c r="B12" s="41">
        <v>207.510986159999</v>
      </c>
      <c r="C12" s="41">
        <v>0.0032799362653685</v>
      </c>
      <c r="D12" s="41">
        <v>0.0024475131131999</v>
      </c>
      <c r="E12" s="41">
        <v>0.003943663710484</v>
      </c>
      <c r="F12" s="41">
        <v>5.758042809194E-4</v>
      </c>
      <c r="H12" s="41">
        <v>8297.0</v>
      </c>
      <c r="I12" s="41">
        <v>229.698249963999</v>
      </c>
      <c r="J12" s="41">
        <v>0.002705892312139</v>
      </c>
      <c r="K12" s="41">
        <v>0.0027092803686145</v>
      </c>
      <c r="L12" s="41">
        <v>0.0044015746323679</v>
      </c>
      <c r="M12" s="41">
        <v>6.373959726722E-4</v>
      </c>
      <c r="O12" s="41">
        <v>8394.0</v>
      </c>
      <c r="P12" s="41">
        <v>274.70538403</v>
      </c>
      <c r="Q12" s="41">
        <v>0.0043498780265037</v>
      </c>
      <c r="R12" s="41">
        <v>0.0032397836904236</v>
      </c>
      <c r="S12" s="41">
        <v>0.0052376989123779</v>
      </c>
      <c r="T12" s="41">
        <v>7.621841364472E-4</v>
      </c>
    </row>
    <row r="13">
      <c r="A13" s="41">
        <v>6993.0</v>
      </c>
      <c r="B13" s="41">
        <v>255.577008630999</v>
      </c>
      <c r="C13" s="41">
        <v>0.0040456108002192</v>
      </c>
      <c r="D13" s="41">
        <v>0.0030141280008652</v>
      </c>
      <c r="E13" s="41">
        <v>0.00487014556278</v>
      </c>
      <c r="F13" s="41">
        <v>7.090928073138E-4</v>
      </c>
      <c r="H13" s="41">
        <v>9520.0</v>
      </c>
      <c r="I13" s="41">
        <v>300.865086481</v>
      </c>
      <c r="J13" s="41">
        <v>0.0035474621373112</v>
      </c>
      <c r="K13" s="41">
        <v>0.0035486161292854</v>
      </c>
      <c r="L13" s="41">
        <v>0.005774592397448</v>
      </c>
      <c r="M13" s="41">
        <v>8.348553533833E-4</v>
      </c>
      <c r="O13" s="41">
        <v>9726.0</v>
      </c>
      <c r="P13" s="41">
        <v>380.73283369</v>
      </c>
      <c r="Q13" s="41">
        <v>0.0060393977899563</v>
      </c>
      <c r="R13" s="41">
        <v>0.0044903082395409</v>
      </c>
      <c r="S13" s="41">
        <v>0.007281742214278</v>
      </c>
      <c r="T13" s="41">
        <v>0.0010563604912583</v>
      </c>
    </row>
    <row r="14">
      <c r="A14" s="41">
        <v>6425.0</v>
      </c>
      <c r="B14" s="41">
        <v>218.322836944</v>
      </c>
      <c r="C14" s="41">
        <v>0.003456488019917</v>
      </c>
      <c r="D14" s="41">
        <v>0.0025749242086187</v>
      </c>
      <c r="E14" s="41">
        <v>0.004161313329048</v>
      </c>
      <c r="F14" s="41">
        <v>6.057608350805E-4</v>
      </c>
      <c r="H14" s="41">
        <v>8340.0</v>
      </c>
      <c r="I14" s="41">
        <v>230.111575724</v>
      </c>
      <c r="J14" s="41">
        <v>0.002709754614451</v>
      </c>
      <c r="K14" s="41">
        <v>0.0027140242296291</v>
      </c>
      <c r="L14" s="41">
        <v>0.00440676324763</v>
      </c>
      <c r="M14" s="41">
        <v>6.385230967777E-4</v>
      </c>
      <c r="O14" s="41">
        <v>9333.0</v>
      </c>
      <c r="P14" s="41">
        <v>366.440530194</v>
      </c>
      <c r="Q14" s="41">
        <v>0.005809053920407</v>
      </c>
      <c r="R14" s="41">
        <v>0.0043219254420798</v>
      </c>
      <c r="S14" s="41">
        <v>0.0070004281003379</v>
      </c>
      <c r="T14" s="41">
        <v>0.0010167791798916</v>
      </c>
    </row>
    <row r="15">
      <c r="A15" s="41">
        <v>7149.0</v>
      </c>
      <c r="B15" s="41">
        <v>239.601178334</v>
      </c>
      <c r="C15" s="41">
        <v>0.0037960551564955</v>
      </c>
      <c r="D15" s="41">
        <v>0.0028257957191291</v>
      </c>
      <c r="E15" s="41">
        <v>0.0045726925470399</v>
      </c>
      <c r="F15" s="41">
        <v>6.647917513666E-4</v>
      </c>
      <c r="H15" s="41">
        <v>9112.0</v>
      </c>
      <c r="I15" s="41">
        <v>247.817663429</v>
      </c>
      <c r="J15" s="41">
        <v>0.0029185520745227</v>
      </c>
      <c r="K15" s="41">
        <v>0.0029226997030437</v>
      </c>
      <c r="L15" s="41">
        <v>0.0047468868530619</v>
      </c>
      <c r="M15" s="41">
        <v>6.876100151083E-4</v>
      </c>
      <c r="O15" s="41">
        <v>9292.0</v>
      </c>
      <c r="P15" s="41">
        <v>306.605151812999</v>
      </c>
      <c r="Q15" s="41">
        <v>0.0048581659459621</v>
      </c>
      <c r="R15" s="41">
        <v>0.0036165679614382</v>
      </c>
      <c r="S15" s="41">
        <v>0.00585193662599</v>
      </c>
      <c r="T15" s="41">
        <v>8.508271343249E-4</v>
      </c>
    </row>
    <row r="16">
      <c r="A16" s="41">
        <v>6427.0</v>
      </c>
      <c r="B16" s="41">
        <v>197.231689275</v>
      </c>
      <c r="C16" s="41">
        <v>0.0031192220768825</v>
      </c>
      <c r="D16" s="41">
        <v>0.002326108530834</v>
      </c>
      <c r="E16" s="41">
        <v>0.0037522755018179</v>
      </c>
      <c r="F16" s="41">
        <v>5.472207085611E-4</v>
      </c>
      <c r="H16" s="41">
        <v>9700.0</v>
      </c>
      <c r="I16" s="41">
        <v>315.215401191</v>
      </c>
      <c r="J16" s="41">
        <v>0.0037156734513145</v>
      </c>
      <c r="K16" s="41">
        <v>0.003717831196384</v>
      </c>
      <c r="L16" s="41">
        <v>0.0060472573378019</v>
      </c>
      <c r="M16" s="41">
        <v>8.746439887138E-4</v>
      </c>
      <c r="O16" s="41">
        <v>9615.0</v>
      </c>
      <c r="P16" s="41">
        <v>360.058246749999</v>
      </c>
      <c r="Q16" s="41">
        <v>0.0057166751064194</v>
      </c>
      <c r="R16" s="41">
        <v>0.0042464487007555</v>
      </c>
      <c r="S16" s="41">
        <v>0.0068974644068559</v>
      </c>
      <c r="T16" s="41">
        <v>9.989958470861E-4</v>
      </c>
    </row>
    <row r="17">
      <c r="A17" s="41">
        <v>7116.0</v>
      </c>
      <c r="B17" s="41">
        <v>252.987019138</v>
      </c>
      <c r="C17" s="41">
        <v>0.0040059135761596</v>
      </c>
      <c r="D17" s="41">
        <v>0.0029836879980534</v>
      </c>
      <c r="E17" s="41">
        <v>0.004823408303168</v>
      </c>
      <c r="F17" s="41">
        <v>7.019483672555E-4</v>
      </c>
      <c r="H17" s="41">
        <v>8921.0</v>
      </c>
      <c r="I17" s="41">
        <v>245.138518261999</v>
      </c>
      <c r="J17" s="41">
        <v>0.0028890781687812</v>
      </c>
      <c r="K17" s="41">
        <v>0.0028914902779298</v>
      </c>
      <c r="L17" s="41">
        <v>0.0047010493163919</v>
      </c>
      <c r="M17" s="41">
        <v>6.802592283805E-4</v>
      </c>
      <c r="O17" s="41">
        <v>9609.0</v>
      </c>
      <c r="P17" s="41">
        <v>351.234353109999</v>
      </c>
      <c r="Q17" s="41">
        <v>0.0055653287930066</v>
      </c>
      <c r="R17" s="41">
        <v>0.004141293735143</v>
      </c>
      <c r="S17" s="41">
        <v>0.0067058606424619</v>
      </c>
      <c r="T17" s="41">
        <v>9.742767127416E-4</v>
      </c>
    </row>
    <row r="18">
      <c r="A18" s="41">
        <v>7927.0</v>
      </c>
      <c r="B18" s="41">
        <v>319.813510704999</v>
      </c>
      <c r="C18" s="41">
        <v>0.0050691019328836</v>
      </c>
      <c r="D18" s="41">
        <v>0.0037715887653333</v>
      </c>
      <c r="E18" s="41">
        <v>0.00610850072013</v>
      </c>
      <c r="F18" s="41">
        <v>8.872957703416E-4</v>
      </c>
      <c r="H18" s="41">
        <v>9352.0</v>
      </c>
      <c r="I18" s="41">
        <v>267.30777991</v>
      </c>
      <c r="J18" s="41">
        <v>0.0031542284525482</v>
      </c>
      <c r="K18" s="41">
        <v>0.0031527028269097</v>
      </c>
      <c r="L18" s="41">
        <v>0.0051376174434239</v>
      </c>
      <c r="M18" s="41">
        <v>7.417293677638E-4</v>
      </c>
      <c r="O18" s="41">
        <v>9596.0</v>
      </c>
      <c r="P18" s="41">
        <v>347.666357647999</v>
      </c>
      <c r="Q18" s="41">
        <v>0.0055093573595003</v>
      </c>
      <c r="R18" s="41">
        <v>0.0040997321553541</v>
      </c>
      <c r="S18" s="41">
        <v>0.006638314477314</v>
      </c>
      <c r="T18" s="41">
        <v>9.644943671138E-4</v>
      </c>
    </row>
    <row r="19">
      <c r="A19" s="41">
        <v>6734.0</v>
      </c>
      <c r="B19" s="41">
        <v>229.909571221</v>
      </c>
      <c r="C19" s="41">
        <v>0.0036336491083405</v>
      </c>
      <c r="D19" s="41">
        <v>0.0027116651275875</v>
      </c>
      <c r="E19" s="41">
        <v>0.004368706828296</v>
      </c>
      <c r="F19" s="41">
        <v>6.379379838138E-4</v>
      </c>
      <c r="H19" s="41">
        <v>8804.0</v>
      </c>
      <c r="I19" s="41">
        <v>248.770250804</v>
      </c>
      <c r="J19" s="41">
        <v>0.0029338077542295</v>
      </c>
      <c r="K19" s="41">
        <v>0.0029339725944944</v>
      </c>
      <c r="L19" s="41">
        <v>0.0047766521546519</v>
      </c>
      <c r="M19" s="41">
        <v>6.902560568805E-4</v>
      </c>
      <c r="O19" s="41">
        <v>9036.0</v>
      </c>
      <c r="P19" s="41">
        <v>318.787369572999</v>
      </c>
      <c r="Q19" s="41">
        <v>0.0050494462232395</v>
      </c>
      <c r="R19" s="41">
        <v>0.0037599053572215</v>
      </c>
      <c r="S19" s="41">
        <v>0.006081164309372</v>
      </c>
      <c r="T19" s="41">
        <v>8.845644859555E-4</v>
      </c>
    </row>
    <row r="20">
      <c r="A20" s="41">
        <v>6583.0</v>
      </c>
      <c r="B20" s="41">
        <v>218.489350568999</v>
      </c>
      <c r="C20" s="41">
        <v>0.0034523262835549</v>
      </c>
      <c r="D20" s="41">
        <v>0.002576844507534</v>
      </c>
      <c r="E20" s="41">
        <v>0.004150073320056</v>
      </c>
      <c r="F20" s="41">
        <v>6.062405140555E-4</v>
      </c>
      <c r="H20" s="41">
        <v>8789.0</v>
      </c>
      <c r="I20" s="41">
        <v>249.563920837999</v>
      </c>
      <c r="J20" s="41">
        <v>0.0029426169019259</v>
      </c>
      <c r="K20" s="41">
        <v>0.0029433556652082</v>
      </c>
      <c r="L20" s="41">
        <v>0.004790275776662</v>
      </c>
      <c r="M20" s="41">
        <v>6.924741252861E-4</v>
      </c>
      <c r="O20" s="41">
        <v>8937.0</v>
      </c>
      <c r="P20" s="41">
        <v>311.209501395</v>
      </c>
      <c r="Q20" s="41">
        <v>0.0049265570986353</v>
      </c>
      <c r="R20" s="41">
        <v>0.0036704245043048</v>
      </c>
      <c r="S20" s="41">
        <v>0.0059306766889819</v>
      </c>
      <c r="T20" s="41">
        <v>8.635016038305E-4</v>
      </c>
    </row>
    <row r="21">
      <c r="A21" s="41">
        <v>8084.0</v>
      </c>
      <c r="B21" s="41">
        <v>333.940394828</v>
      </c>
      <c r="C21" s="41">
        <v>0.005296677220315</v>
      </c>
      <c r="D21" s="41">
        <v>0.0039387489186035</v>
      </c>
      <c r="E21" s="41">
        <v>0.0063854601083639</v>
      </c>
      <c r="F21" s="41">
        <v>9.265736485222E-4</v>
      </c>
      <c r="H21" s="41">
        <v>9568.0</v>
      </c>
      <c r="I21" s="41">
        <v>284.882300437</v>
      </c>
      <c r="J21" s="41">
        <v>0.0033612900578003</v>
      </c>
      <c r="K21" s="41">
        <v>0.0033602189292124</v>
      </c>
      <c r="L21" s="41">
        <v>0.0054742193793719</v>
      </c>
      <c r="M21" s="41">
        <v>7.905267523861E-4</v>
      </c>
      <c r="O21" s="41">
        <v>10148.0</v>
      </c>
      <c r="P21" s="41">
        <v>402.095561359999</v>
      </c>
      <c r="Q21" s="41">
        <v>0.0063723399165414</v>
      </c>
      <c r="R21" s="41">
        <v>0.0047421979984257</v>
      </c>
      <c r="S21" s="41">
        <v>0.007677808642242</v>
      </c>
      <c r="T21" s="41">
        <v>0.0011156136271444</v>
      </c>
    </row>
    <row r="22">
      <c r="A22" s="41">
        <v>6901.0</v>
      </c>
      <c r="B22" s="41">
        <v>241.983659139</v>
      </c>
      <c r="C22" s="41">
        <v>0.0038309903281221</v>
      </c>
      <c r="D22" s="41">
        <v>0.0028542448510909</v>
      </c>
      <c r="E22" s="41">
        <v>0.0046117775783079</v>
      </c>
      <c r="F22" s="41">
        <v>6.714641156166E-4</v>
      </c>
      <c r="H22" s="41">
        <v>8627.0</v>
      </c>
      <c r="I22" s="41">
        <v>236.382828077</v>
      </c>
      <c r="J22" s="41">
        <v>0.0027880271929833</v>
      </c>
      <c r="K22" s="41">
        <v>0.0027879208012618</v>
      </c>
      <c r="L22" s="41">
        <v>0.004539626965032</v>
      </c>
      <c r="M22" s="41">
        <v>6.558942634194E-4</v>
      </c>
      <c r="O22" s="41">
        <v>9312.0</v>
      </c>
      <c r="P22" s="41">
        <v>347.945164522999</v>
      </c>
      <c r="Q22" s="41">
        <v>0.0055099907452115</v>
      </c>
      <c r="R22" s="41">
        <v>0.004103223744625</v>
      </c>
      <c r="S22" s="41">
        <v>0.0066353578082819</v>
      </c>
      <c r="T22" s="41">
        <v>9.653048346888E-4</v>
      </c>
    </row>
    <row r="23">
      <c r="A23" s="41">
        <v>6618.0</v>
      </c>
      <c r="B23" s="41">
        <v>225.164233147</v>
      </c>
      <c r="C23" s="41">
        <v>0.0035482037122852</v>
      </c>
      <c r="D23" s="41">
        <v>0.0026557854312958</v>
      </c>
      <c r="E23" s="41">
        <v>0.004256235627208</v>
      </c>
      <c r="F23" s="41">
        <v>6.247925313777E-4</v>
      </c>
      <c r="H23" s="41">
        <v>8752.0</v>
      </c>
      <c r="I23" s="41">
        <v>247.440732070999</v>
      </c>
      <c r="J23" s="41">
        <v>0.0029170703007501</v>
      </c>
      <c r="K23" s="41">
        <v>0.0029185553513972</v>
      </c>
      <c r="L23" s="41">
        <v>0.004747772131548</v>
      </c>
      <c r="M23" s="41">
        <v>6.866260683138E-4</v>
      </c>
      <c r="O23" s="41">
        <v>8696.0</v>
      </c>
      <c r="P23" s="41">
        <v>294.686054107999</v>
      </c>
      <c r="Q23" s="41">
        <v>0.004662517420791</v>
      </c>
      <c r="R23" s="41">
        <v>0.0034754460314971</v>
      </c>
      <c r="S23" s="41">
        <v>0.005610677544094</v>
      </c>
      <c r="T23" s="41">
        <v>8.176270288083E-4</v>
      </c>
    </row>
    <row r="24">
      <c r="A24" s="41">
        <v>6793.0</v>
      </c>
      <c r="B24" s="41">
        <v>243.329602793</v>
      </c>
      <c r="C24" s="41">
        <v>0.0038492189491313</v>
      </c>
      <c r="D24" s="41">
        <v>0.0028693185880444</v>
      </c>
      <c r="E24" s="41">
        <v>0.004631857594372</v>
      </c>
      <c r="F24" s="41">
        <v>6.750301570888E-4</v>
      </c>
      <c r="H24" s="41">
        <v>8209.0</v>
      </c>
      <c r="I24" s="41">
        <v>212.678289447999</v>
      </c>
      <c r="J24" s="41">
        <v>0.0025062236438366</v>
      </c>
      <c r="K24" s="41">
        <v>0.0025082067047333</v>
      </c>
      <c r="L24" s="41">
        <v>0.0040782218736859</v>
      </c>
      <c r="M24" s="41">
        <v>5.900764515249E-4</v>
      </c>
      <c r="O24" s="41">
        <v>9820.0</v>
      </c>
      <c r="P24" s="41">
        <v>407.128754181</v>
      </c>
      <c r="Q24" s="41">
        <v>0.0064522930953519</v>
      </c>
      <c r="R24" s="41">
        <v>0.0048011421698256</v>
      </c>
      <c r="S24" s="41">
        <v>0.007774805108728</v>
      </c>
      <c r="T24" s="41">
        <v>0.00112950320575</v>
      </c>
    </row>
    <row r="25">
      <c r="A25" s="41">
        <v>7088.0</v>
      </c>
      <c r="B25" s="41">
        <v>253.514375516999</v>
      </c>
      <c r="C25" s="41">
        <v>0.0040147187019411</v>
      </c>
      <c r="D25" s="41">
        <v>0.0029894056025284</v>
      </c>
      <c r="E25" s="41">
        <v>0.0048350499791479</v>
      </c>
      <c r="F25" s="41">
        <v>7.032922383194E-4</v>
      </c>
      <c r="H25" s="41">
        <v>8949.0</v>
      </c>
      <c r="I25" s="41">
        <v>255.978983629</v>
      </c>
      <c r="J25" s="41">
        <v>0.0030132859152127</v>
      </c>
      <c r="K25" s="41">
        <v>0.0030188209038486</v>
      </c>
      <c r="L25" s="41">
        <v>0.0048994511417799</v>
      </c>
      <c r="M25" s="41">
        <v>7.101923694944E-4</v>
      </c>
      <c r="O25" s="41">
        <v>9532.0</v>
      </c>
      <c r="P25" s="41">
        <v>360.055572862999</v>
      </c>
      <c r="Q25" s="41">
        <v>0.0057007699439263</v>
      </c>
      <c r="R25" s="41">
        <v>0.0042461027119035</v>
      </c>
      <c r="S25" s="41">
        <v>0.00686413882464</v>
      </c>
      <c r="T25" s="41">
        <v>9.988829304111E-4</v>
      </c>
    </row>
    <row r="26">
      <c r="A26" s="41">
        <v>6927.0</v>
      </c>
      <c r="B26" s="41">
        <v>235.342209588</v>
      </c>
      <c r="C26" s="41">
        <v>0.0037221468191806</v>
      </c>
      <c r="D26" s="41">
        <v>0.0027756913217236</v>
      </c>
      <c r="E26" s="41">
        <v>0.004477585804288</v>
      </c>
      <c r="F26" s="41">
        <v>6.530126490666E-4</v>
      </c>
      <c r="H26" s="41">
        <v>8764.0</v>
      </c>
      <c r="I26" s="41">
        <v>237.413702728</v>
      </c>
      <c r="J26" s="41">
        <v>0.002794764474866</v>
      </c>
      <c r="K26" s="41">
        <v>0.0028006410738104</v>
      </c>
      <c r="L26" s="41">
        <v>0.00454320641234</v>
      </c>
      <c r="M26" s="41">
        <v>6.588865718055E-4</v>
      </c>
      <c r="O26" s="41">
        <v>9181.0</v>
      </c>
      <c r="P26" s="41">
        <v>314.872391732</v>
      </c>
      <c r="Q26" s="41">
        <v>0.0049812691779583</v>
      </c>
      <c r="R26" s="41">
        <v>0.0037133883694333</v>
      </c>
      <c r="S26" s="41">
        <v>0.0059938381283999</v>
      </c>
      <c r="T26" s="41">
        <v>8.735913693333E-4</v>
      </c>
    </row>
    <row r="27">
      <c r="A27" s="41">
        <v>7096.0</v>
      </c>
      <c r="B27" s="41">
        <v>244.791376194999</v>
      </c>
      <c r="C27" s="41">
        <v>0.0038747883448387</v>
      </c>
      <c r="D27" s="41">
        <v>0.002886762190684</v>
      </c>
      <c r="E27" s="41">
        <v>0.004664614009466</v>
      </c>
      <c r="F27" s="41">
        <v>6.791426266527E-4</v>
      </c>
      <c r="H27" s="41">
        <v>8861.0</v>
      </c>
      <c r="I27" s="41">
        <v>242.283789709</v>
      </c>
      <c r="J27" s="41">
        <v>0.0028532686647254</v>
      </c>
      <c r="K27" s="41">
        <v>0.0028576223226673</v>
      </c>
      <c r="L27" s="41">
        <v>0.0046403501011659</v>
      </c>
      <c r="M27" s="41">
        <v>6.72286832375E-4</v>
      </c>
      <c r="O27" s="41">
        <v>9493.0</v>
      </c>
      <c r="P27" s="41">
        <v>339.57850184</v>
      </c>
      <c r="Q27" s="41">
        <v>0.0053776598561876</v>
      </c>
      <c r="R27" s="41">
        <v>0.004005184915475</v>
      </c>
      <c r="S27" s="41">
        <v>0.0064753926803099</v>
      </c>
      <c r="T27" s="41">
        <v>9.422219874361E-4</v>
      </c>
    </row>
    <row r="28">
      <c r="A28" s="41">
        <v>6331.0</v>
      </c>
      <c r="B28" s="41">
        <v>211.660728804</v>
      </c>
      <c r="C28" s="41">
        <v>0.0033410044772657</v>
      </c>
      <c r="D28" s="41">
        <v>0.002496201290909</v>
      </c>
      <c r="E28" s="41">
        <v>0.0040132276550239</v>
      </c>
      <c r="F28" s="41">
        <v>5.872684226333E-4</v>
      </c>
      <c r="H28" s="41">
        <v>8761.0</v>
      </c>
      <c r="I28" s="41">
        <v>265.947790967</v>
      </c>
      <c r="J28" s="41">
        <v>0.0031291163346395</v>
      </c>
      <c r="K28" s="41">
        <v>0.0031362466932708</v>
      </c>
      <c r="L28" s="41">
        <v>0.005086038513272</v>
      </c>
      <c r="M28" s="41">
        <v>7.378565469861E-4</v>
      </c>
      <c r="O28" s="41">
        <v>8624.0</v>
      </c>
      <c r="P28" s="41">
        <v>301.216050000999</v>
      </c>
      <c r="Q28" s="41">
        <v>0.0047635354189859</v>
      </c>
      <c r="R28" s="41">
        <v>0.0035523777309256</v>
      </c>
      <c r="S28" s="41">
        <v>0.0057302273619559</v>
      </c>
      <c r="T28" s="41">
        <v>8.357199506861E-4</v>
      </c>
    </row>
    <row r="29">
      <c r="A29" s="41">
        <v>6303.0</v>
      </c>
      <c r="B29" s="41">
        <v>213.992362206</v>
      </c>
      <c r="C29" s="41">
        <v>0.0033814138849938</v>
      </c>
      <c r="D29" s="41">
        <v>0.0025239151707694</v>
      </c>
      <c r="E29" s="41">
        <v>0.0040648488074319</v>
      </c>
      <c r="F29" s="41">
        <v>5.937678570472E-4</v>
      </c>
      <c r="H29" s="41">
        <v>8201.0</v>
      </c>
      <c r="I29" s="41">
        <v>229.751854887999</v>
      </c>
      <c r="J29" s="41">
        <v>0.0027034536279606</v>
      </c>
      <c r="K29" s="41">
        <v>0.0027099840175742</v>
      </c>
      <c r="L29" s="41">
        <v>0.0043937346260959</v>
      </c>
      <c r="M29" s="41">
        <v>6.375492224249E-4</v>
      </c>
      <c r="O29" s="41">
        <v>8303.0</v>
      </c>
      <c r="P29" s="41">
        <v>275.557251659</v>
      </c>
      <c r="Q29" s="41">
        <v>0.0043563242540125</v>
      </c>
      <c r="R29" s="41">
        <v>0.003249918389693</v>
      </c>
      <c r="S29" s="41">
        <v>0.005238887246662</v>
      </c>
      <c r="T29" s="41">
        <v>7.645536693388E-4</v>
      </c>
    </row>
    <row r="30">
      <c r="A30" s="41">
        <v>6954.0</v>
      </c>
      <c r="B30" s="41">
        <v>261.160268599</v>
      </c>
      <c r="C30" s="41">
        <v>0.0041366379517455</v>
      </c>
      <c r="D30" s="41">
        <v>0.003079927502909</v>
      </c>
      <c r="E30" s="41">
        <v>0.004982191763528</v>
      </c>
      <c r="F30" s="41">
        <v>7.245997776777E-4</v>
      </c>
      <c r="H30" s="41">
        <v>8534.0</v>
      </c>
      <c r="I30" s="41">
        <v>245.396962543</v>
      </c>
      <c r="J30" s="41">
        <v>0.0028871344636001</v>
      </c>
      <c r="K30" s="41">
        <v>0.0028943807460909</v>
      </c>
      <c r="L30" s="41">
        <v>0.004691909031302</v>
      </c>
      <c r="M30" s="41">
        <v>6.809432969999E-4</v>
      </c>
      <c r="O30" s="41">
        <v>9230.0</v>
      </c>
      <c r="P30" s="41">
        <v>355.113269827001</v>
      </c>
      <c r="Q30" s="41">
        <v>0.0056119483052865</v>
      </c>
      <c r="R30" s="41">
        <v>0.0041874831108312</v>
      </c>
      <c r="S30" s="41">
        <v>0.0067478051204619</v>
      </c>
      <c r="T30" s="41">
        <v>9.851683384777E-4</v>
      </c>
    </row>
    <row r="31">
      <c r="A31" s="41">
        <v>6598.0</v>
      </c>
      <c r="B31" s="41">
        <v>217.49808882</v>
      </c>
      <c r="C31" s="41">
        <v>0.0034370459724594</v>
      </c>
      <c r="D31" s="41">
        <v>0.002565222551034</v>
      </c>
      <c r="E31" s="41">
        <v>0.004132016361166</v>
      </c>
      <c r="F31" s="41">
        <v>6.034622016027E-4</v>
      </c>
      <c r="H31" s="41">
        <v>8731.0</v>
      </c>
      <c r="I31" s="41">
        <v>248.785759063999</v>
      </c>
      <c r="J31" s="41">
        <v>0.0029279495065582</v>
      </c>
      <c r="K31" s="41">
        <v>0.0029344562104708</v>
      </c>
      <c r="L31" s="41">
        <v>0.0047592993629919</v>
      </c>
      <c r="M31" s="41">
        <v>6.903502955055E-4</v>
      </c>
      <c r="O31" s="41">
        <v>9542.0</v>
      </c>
      <c r="P31" s="41">
        <v>365.852865017999</v>
      </c>
      <c r="Q31" s="41">
        <v>0.0057950536730949</v>
      </c>
      <c r="R31" s="41">
        <v>0.004315117824982</v>
      </c>
      <c r="S31" s="41">
        <v>0.006979091972158</v>
      </c>
      <c r="T31" s="41">
        <v>0.0010151847075361</v>
      </c>
    </row>
    <row r="32">
      <c r="A32" s="41">
        <v>6808.0</v>
      </c>
      <c r="B32" s="41">
        <v>239.095307294</v>
      </c>
      <c r="C32" s="41">
        <v>0.0037845940816207</v>
      </c>
      <c r="D32" s="41">
        <v>0.002819762471168</v>
      </c>
      <c r="E32" s="41">
        <v>0.0045557814224</v>
      </c>
      <c r="F32" s="41">
        <v>6.63391415525E-4</v>
      </c>
      <c r="H32" s="41">
        <v>8982.0</v>
      </c>
      <c r="I32" s="41">
        <v>267.640605538999</v>
      </c>
      <c r="J32" s="41">
        <v>0.0031502107075959</v>
      </c>
      <c r="K32" s="41">
        <v>0.0031564232179409</v>
      </c>
      <c r="L32" s="41">
        <v>0.0051215618750239</v>
      </c>
      <c r="M32" s="41">
        <v>7.425598388666E-4</v>
      </c>
      <c r="O32" s="41">
        <v>8953.0</v>
      </c>
      <c r="P32" s="41">
        <v>313.635297651999</v>
      </c>
      <c r="Q32" s="41">
        <v>0.0049621178815051</v>
      </c>
      <c r="R32" s="41">
        <v>0.0036989062087742</v>
      </c>
      <c r="S32" s="41">
        <v>0.0059710389434939</v>
      </c>
      <c r="T32" s="41">
        <v>8.701930462333E-4</v>
      </c>
    </row>
    <row r="33">
      <c r="A33" s="41">
        <v>7294.0</v>
      </c>
      <c r="B33" s="41">
        <v>272.754429763999</v>
      </c>
      <c r="C33" s="41">
        <v>0.004319585265497</v>
      </c>
      <c r="D33" s="41">
        <v>0.0032171952458451</v>
      </c>
      <c r="E33" s="41">
        <v>0.005201257216558</v>
      </c>
      <c r="F33" s="41">
        <v>7.568687906944E-4</v>
      </c>
      <c r="H33" s="41">
        <v>9405.0</v>
      </c>
      <c r="I33" s="41">
        <v>290.808969884999</v>
      </c>
      <c r="J33" s="41">
        <v>0.0034193048858069</v>
      </c>
      <c r="K33" s="41">
        <v>0.0034297541023242</v>
      </c>
      <c r="L33" s="41">
        <v>0.0055544302768739</v>
      </c>
      <c r="M33" s="41">
        <v>8.069046053194E-4</v>
      </c>
      <c r="O33" s="41">
        <v>9826.0</v>
      </c>
      <c r="P33" s="41">
        <v>382.620140354998</v>
      </c>
      <c r="Q33" s="41">
        <v>0.0060598463354653</v>
      </c>
      <c r="R33" s="41">
        <v>0.0045124203860763</v>
      </c>
      <c r="S33" s="41">
        <v>0.007297845282716</v>
      </c>
      <c r="T33" s="41">
        <v>0.0010615804587555</v>
      </c>
    </row>
    <row r="34">
      <c r="A34" s="41">
        <v>7096.0</v>
      </c>
      <c r="B34" s="41">
        <v>244.165779015001</v>
      </c>
      <c r="C34" s="41">
        <v>0.0038646709860161</v>
      </c>
      <c r="D34" s="41">
        <v>0.002879776599559</v>
      </c>
      <c r="E34" s="41">
        <v>0.0046517451102819</v>
      </c>
      <c r="F34" s="41">
        <v>6.775066238416E-4</v>
      </c>
      <c r="H34" s="41">
        <v>8678.0</v>
      </c>
      <c r="I34" s="41">
        <v>229.827482033999</v>
      </c>
      <c r="J34" s="41">
        <v>0.0027023377446097</v>
      </c>
      <c r="K34" s="41">
        <v>0.0027101761630375</v>
      </c>
      <c r="L34" s="41">
        <v>0.0043902940677879</v>
      </c>
      <c r="M34" s="41">
        <v>6.376023328472E-4</v>
      </c>
      <c r="O34" s="41">
        <v>9534.0</v>
      </c>
      <c r="P34" s="41">
        <v>348.177558981999</v>
      </c>
      <c r="Q34" s="41">
        <v>0.0055085825043173</v>
      </c>
      <c r="R34" s="41">
        <v>0.0041057542113889</v>
      </c>
      <c r="S34" s="41">
        <v>0.006629235581162</v>
      </c>
      <c r="T34" s="41">
        <v>9.659053211583E-4</v>
      </c>
    </row>
    <row r="35">
      <c r="A35" s="41">
        <v>8053.0</v>
      </c>
      <c r="B35" s="41">
        <v>341.998717725999</v>
      </c>
      <c r="C35" s="41">
        <v>0.0054207020409928</v>
      </c>
      <c r="D35" s="41">
        <v>0.0040331532483603</v>
      </c>
      <c r="E35" s="41">
        <v>0.006532256336912</v>
      </c>
      <c r="F35" s="41">
        <v>9.488168013916E-4</v>
      </c>
      <c r="H35" s="41">
        <v>9516.0</v>
      </c>
      <c r="I35" s="41">
        <v>296.439752768999</v>
      </c>
      <c r="J35" s="41">
        <v>0.0034844695421962</v>
      </c>
      <c r="K35" s="41">
        <v>0.003495949411968</v>
      </c>
      <c r="L35" s="41">
        <v>0.0056592717496359</v>
      </c>
      <c r="M35" s="41">
        <v>8.224650906805E-4</v>
      </c>
      <c r="O35" s="41">
        <v>9479.0</v>
      </c>
      <c r="P35" s="41">
        <v>349.181422278999</v>
      </c>
      <c r="Q35" s="41">
        <v>0.005524962213656</v>
      </c>
      <c r="R35" s="41">
        <v>0.0041182850475659</v>
      </c>
      <c r="S35" s="41">
        <v>0.006648549485502</v>
      </c>
      <c r="T35" s="41">
        <v>9.688530632472E-4</v>
      </c>
    </row>
    <row r="36">
      <c r="A36" s="41">
        <v>6437.0</v>
      </c>
      <c r="B36" s="41">
        <v>212.599583821998</v>
      </c>
      <c r="C36" s="41">
        <v>0.0033535233712897</v>
      </c>
      <c r="D36" s="41">
        <v>0.0025073109902694</v>
      </c>
      <c r="E36" s="41">
        <v>0.0040261290542339</v>
      </c>
      <c r="F36" s="41">
        <v>5.898489682472E-4</v>
      </c>
      <c r="H36" s="41">
        <v>8212.0</v>
      </c>
      <c r="I36" s="41">
        <v>221.160462811001</v>
      </c>
      <c r="J36" s="41">
        <v>0.0025991791679641</v>
      </c>
      <c r="K36" s="41">
        <v>0.0026080741208681</v>
      </c>
      <c r="L36" s="41">
        <v>0.004221034210158</v>
      </c>
      <c r="M36" s="41">
        <v>6.135723804472E-4</v>
      </c>
      <c r="O36" s="41">
        <v>9099.0</v>
      </c>
      <c r="P36" s="41">
        <v>343.550834740999</v>
      </c>
      <c r="Q36" s="41">
        <v>0.0054356765062675</v>
      </c>
      <c r="R36" s="41">
        <v>0.004051890288468</v>
      </c>
      <c r="S36" s="41">
        <v>0.006540894677156</v>
      </c>
      <c r="T36" s="41">
        <v>9.532489953888E-4</v>
      </c>
    </row>
    <row r="37">
      <c r="A37" s="41">
        <v>6794.0</v>
      </c>
      <c r="B37" s="41">
        <v>217.789390048999</v>
      </c>
      <c r="C37" s="41">
        <v>0.0034442642294134</v>
      </c>
      <c r="D37" s="41">
        <v>0.0025687511821124</v>
      </c>
      <c r="E37" s="41">
        <v>0.004142961369922</v>
      </c>
      <c r="F37" s="41">
        <v>6.043210120777E-4</v>
      </c>
      <c r="H37" s="41">
        <v>9046.0</v>
      </c>
      <c r="I37" s="41">
        <v>257.273064769999</v>
      </c>
      <c r="J37" s="41">
        <v>0.0030258211518782</v>
      </c>
      <c r="K37" s="41">
        <v>0.0030342961639201</v>
      </c>
      <c r="L37" s="41">
        <v>0.004916209766298</v>
      </c>
      <c r="M37" s="41">
        <v>7.138528031166E-4</v>
      </c>
      <c r="O37" s="41">
        <v>9089.0</v>
      </c>
      <c r="P37" s="41">
        <v>306.531071571</v>
      </c>
      <c r="Q37" s="41">
        <v>0.0048447779520106</v>
      </c>
      <c r="R37" s="41">
        <v>0.0036151084059082</v>
      </c>
      <c r="S37" s="41">
        <v>0.005825299660236</v>
      </c>
      <c r="T37" s="41">
        <v>8.504859381222E-4</v>
      </c>
    </row>
    <row r="38">
      <c r="A38" s="41">
        <v>6632.0</v>
      </c>
      <c r="B38" s="41">
        <v>230.368637188999</v>
      </c>
      <c r="C38" s="41">
        <v>0.003642444949637</v>
      </c>
      <c r="D38" s="41">
        <v>0.0027166743843382</v>
      </c>
      <c r="E38" s="41">
        <v>0.0043811821160539</v>
      </c>
      <c r="F38" s="41">
        <v>6.391368694555E-4</v>
      </c>
      <c r="H38" s="41">
        <v>9098.0</v>
      </c>
      <c r="I38" s="41">
        <v>284.910979349</v>
      </c>
      <c r="J38" s="41">
        <v>0.0033517237674923</v>
      </c>
      <c r="K38" s="41">
        <v>0.0033602793009937</v>
      </c>
      <c r="L38" s="41">
        <v>0.005446741024056</v>
      </c>
      <c r="M38" s="41">
        <v>7.905519169749E-4</v>
      </c>
      <c r="O38" s="41">
        <v>9017.0</v>
      </c>
      <c r="P38" s="41">
        <v>335.119656301998</v>
      </c>
      <c r="Q38" s="41">
        <v>0.0053014425615959</v>
      </c>
      <c r="R38" s="41">
        <v>0.0039520429087457</v>
      </c>
      <c r="S38" s="41">
        <v>0.006379096492162</v>
      </c>
      <c r="T38" s="41">
        <v>9.297654354944E-4</v>
      </c>
    </row>
    <row r="39">
      <c r="A39" s="41">
        <v>6968.0</v>
      </c>
      <c r="B39" s="41">
        <v>255.565301712998</v>
      </c>
      <c r="C39" s="41">
        <v>0.0040420110594885</v>
      </c>
      <c r="D39" s="41">
        <v>0.0030138170459201</v>
      </c>
      <c r="E39" s="41">
        <v>0.0048628727791839</v>
      </c>
      <c r="F39" s="41">
        <v>7.090302614083E-4</v>
      </c>
      <c r="H39" s="41">
        <v>9679.0</v>
      </c>
      <c r="I39" s="41">
        <v>316.370208017999</v>
      </c>
      <c r="J39" s="41">
        <v>0.0037237307531934</v>
      </c>
      <c r="K39" s="41">
        <v>0.003730880438884</v>
      </c>
      <c r="L39" s="41">
        <v>0.006054203176692</v>
      </c>
      <c r="M39" s="41">
        <v>8.777207778666E-4</v>
      </c>
      <c r="O39" s="41">
        <v>9150.0</v>
      </c>
      <c r="P39" s="41">
        <v>330.616125254999</v>
      </c>
      <c r="Q39" s="41">
        <v>0.0052313320308995</v>
      </c>
      <c r="R39" s="41">
        <v>0.0038986867533236</v>
      </c>
      <c r="S39" s="41">
        <v>0.0062960989257639</v>
      </c>
      <c r="T39" s="41">
        <v>9.171959151916E-4</v>
      </c>
    </row>
    <row r="40">
      <c r="A40" s="41">
        <v>7683.0</v>
      </c>
      <c r="B40" s="41">
        <v>322.777943363</v>
      </c>
      <c r="C40" s="41">
        <v>0.0051160404690038</v>
      </c>
      <c r="D40" s="41">
        <v>0.003806642585818</v>
      </c>
      <c r="E40" s="41">
        <v>0.006164901598584</v>
      </c>
      <c r="F40" s="41">
        <v>8.955441960277E-4</v>
      </c>
      <c r="H40" s="41">
        <v>9230.0</v>
      </c>
      <c r="I40" s="41">
        <v>287.034303750999</v>
      </c>
      <c r="J40" s="41">
        <v>0.0033767072421166</v>
      </c>
      <c r="K40" s="41">
        <v>0.0033849008078132</v>
      </c>
      <c r="L40" s="41">
        <v>0.005487894112534</v>
      </c>
      <c r="M40" s="41">
        <v>7.963168396083E-4</v>
      </c>
      <c r="O40" s="41">
        <v>8854.0</v>
      </c>
      <c r="P40" s="41">
        <v>312.490380860999</v>
      </c>
      <c r="Q40" s="41">
        <v>0.0049400906862145</v>
      </c>
      <c r="R40" s="41">
        <v>0.0036850471927486</v>
      </c>
      <c r="S40" s="41">
        <v>0.0059413733642059</v>
      </c>
      <c r="T40" s="41">
        <v>8.669292161139E-4</v>
      </c>
    </row>
    <row r="41">
      <c r="A41" s="41">
        <v>6868.0</v>
      </c>
      <c r="B41" s="41">
        <v>223.689622251999</v>
      </c>
      <c r="C41" s="41">
        <v>0.0035344273372259</v>
      </c>
      <c r="D41" s="41">
        <v>0.0026380298679604</v>
      </c>
      <c r="E41" s="41">
        <v>0.004248913676906</v>
      </c>
      <c r="F41" s="41">
        <v>6.206073591083E-4</v>
      </c>
      <c r="H41" s="41">
        <v>9258.0</v>
      </c>
      <c r="I41" s="41">
        <v>269.420419485999</v>
      </c>
      <c r="J41" s="41">
        <v>0.0031682397539105</v>
      </c>
      <c r="K41" s="41">
        <v>0.0031776238572368</v>
      </c>
      <c r="L41" s="41">
        <v>0.0051469638397899</v>
      </c>
      <c r="M41" s="41">
        <v>7.4758293145E-4</v>
      </c>
      <c r="O41" s="41">
        <v>10055.0</v>
      </c>
      <c r="P41" s="41">
        <v>399.080183285999</v>
      </c>
      <c r="Q41" s="41">
        <v>0.006318599294706</v>
      </c>
      <c r="R41" s="41">
        <v>0.0047064102268236</v>
      </c>
      <c r="S41" s="41">
        <v>0.00760784636405</v>
      </c>
      <c r="T41" s="41">
        <v>0.0011072121000222</v>
      </c>
    </row>
    <row r="42">
      <c r="A42" s="41">
        <v>6691.0</v>
      </c>
      <c r="B42" s="41">
        <v>226.587982073999</v>
      </c>
      <c r="C42" s="41">
        <v>0.0035841545997073</v>
      </c>
      <c r="D42" s="41">
        <v>0.0026721175817388</v>
      </c>
      <c r="E42" s="41">
        <v>0.004312435949946</v>
      </c>
      <c r="F42" s="41">
        <v>6.286240888055E-4</v>
      </c>
      <c r="H42" s="41">
        <v>9327.0</v>
      </c>
      <c r="I42" s="41">
        <v>289.958536509</v>
      </c>
      <c r="J42" s="41">
        <v>0.0034108922588535</v>
      </c>
      <c r="K42" s="41">
        <v>0.0034199228979042</v>
      </c>
      <c r="L42" s="41">
        <v>0.005542486656208</v>
      </c>
      <c r="M42" s="41">
        <v>8.045900959222E-4</v>
      </c>
      <c r="O42" s="41">
        <v>9254.0</v>
      </c>
      <c r="P42" s="41">
        <v>341.244053644999</v>
      </c>
      <c r="Q42" s="41">
        <v>0.0053966267737163</v>
      </c>
      <c r="R42" s="41">
        <v>0.0040249478655617</v>
      </c>
      <c r="S42" s="41">
        <v>0.006491232415204</v>
      </c>
      <c r="T42" s="41">
        <v>9.469073279972E-4</v>
      </c>
    </row>
    <row r="43">
      <c r="A43" s="41">
        <v>7002.0</v>
      </c>
      <c r="B43" s="41">
        <v>240.177019587001</v>
      </c>
      <c r="C43" s="41">
        <v>0.0037977976068518</v>
      </c>
      <c r="D43" s="41">
        <v>0.0028326252978424</v>
      </c>
      <c r="E43" s="41">
        <v>0.00456798143216</v>
      </c>
      <c r="F43" s="41">
        <v>6.663744627166E-4</v>
      </c>
      <c r="H43" s="41">
        <v>9263.0</v>
      </c>
      <c r="I43" s="41">
        <v>270.524762531998</v>
      </c>
      <c r="J43" s="41">
        <v>0.003184321955307</v>
      </c>
      <c r="K43" s="41">
        <v>0.0031904432309784</v>
      </c>
      <c r="L43" s="41">
        <v>0.0051772085862079</v>
      </c>
      <c r="M43" s="41">
        <v>7.505697690722E-4</v>
      </c>
      <c r="O43" s="41">
        <v>10338.0</v>
      </c>
      <c r="P43" s="41">
        <v>429.356653335999</v>
      </c>
      <c r="Q43" s="41">
        <v>0.0068008115087468</v>
      </c>
      <c r="R43" s="41">
        <v>0.005063378107968</v>
      </c>
      <c r="S43" s="41">
        <v>0.0081912073862939</v>
      </c>
      <c r="T43" s="41">
        <v>0.0011911602288138</v>
      </c>
    </row>
    <row r="44">
      <c r="A44" s="41">
        <v>6855.0</v>
      </c>
      <c r="B44" s="41">
        <v>247.107760949</v>
      </c>
      <c r="C44" s="41">
        <v>0.0039058726097555</v>
      </c>
      <c r="D44" s="41">
        <v>0.0029143466064541</v>
      </c>
      <c r="E44" s="41">
        <v>0.0046965640350259</v>
      </c>
      <c r="F44" s="41">
        <v>6.856349214555E-4</v>
      </c>
      <c r="H44" s="41">
        <v>9008.0</v>
      </c>
      <c r="I44" s="41">
        <v>270.527027719999</v>
      </c>
      <c r="J44" s="41">
        <v>0.0031792260625156</v>
      </c>
      <c r="K44" s="41">
        <v>0.0031906541208895</v>
      </c>
      <c r="L44" s="41">
        <v>0.0051623338520859</v>
      </c>
      <c r="M44" s="41">
        <v>7.506416592333E-4</v>
      </c>
      <c r="O44" s="41">
        <v>9693.0</v>
      </c>
      <c r="P44" s="41">
        <v>387.957754989</v>
      </c>
      <c r="Q44" s="41">
        <v>0.0061420851122773</v>
      </c>
      <c r="R44" s="41">
        <v>0.0045754937148653</v>
      </c>
      <c r="S44" s="41">
        <v>0.007394627304586</v>
      </c>
      <c r="T44" s="41">
        <v>0.001076410211025</v>
      </c>
    </row>
    <row r="45">
      <c r="A45" s="41">
        <v>6988.0</v>
      </c>
      <c r="B45" s="41">
        <v>244.791879948999</v>
      </c>
      <c r="C45" s="41">
        <v>0.0038712431526879</v>
      </c>
      <c r="D45" s="41">
        <v>0.0028870988621666</v>
      </c>
      <c r="E45" s="41">
        <v>0.004656688169792</v>
      </c>
      <c r="F45" s="41">
        <v>6.792013781749E-4</v>
      </c>
      <c r="H45" s="41">
        <v>9128.0</v>
      </c>
      <c r="I45" s="41">
        <v>267.381742628</v>
      </c>
      <c r="J45" s="41">
        <v>0.0031451136457887</v>
      </c>
      <c r="K45" s="41">
        <v>0.0031537990426555</v>
      </c>
      <c r="L45" s="41">
        <v>0.0051101774214719</v>
      </c>
      <c r="M45" s="41">
        <v>7.419731662083E-4</v>
      </c>
      <c r="O45" s="41">
        <v>9408.0</v>
      </c>
      <c r="P45" s="41">
        <v>343.719968904999</v>
      </c>
      <c r="Q45" s="41">
        <v>0.0054353853192964</v>
      </c>
      <c r="R45" s="41">
        <v>0.0040534359040659</v>
      </c>
      <c r="S45" s="41">
        <v>0.0065383902307079</v>
      </c>
      <c r="T45" s="41">
        <v>9.535893099138E-4</v>
      </c>
    </row>
    <row r="46">
      <c r="A46" s="41">
        <v>6402.0</v>
      </c>
      <c r="B46" s="41">
        <v>215.743325031999</v>
      </c>
      <c r="C46" s="41">
        <v>0.003406485834177</v>
      </c>
      <c r="D46" s="41">
        <v>0.0025443751328861</v>
      </c>
      <c r="E46" s="41">
        <v>0.004092805774242</v>
      </c>
      <c r="F46" s="41">
        <v>5.986067788694E-4</v>
      </c>
      <c r="H46" s="41">
        <v>8687.0</v>
      </c>
      <c r="I46" s="41">
        <v>257.587955271001</v>
      </c>
      <c r="J46" s="41">
        <v>0.0030258234160312</v>
      </c>
      <c r="K46" s="41">
        <v>0.0030371841056569</v>
      </c>
      <c r="L46" s="41">
        <v>0.0049126436523339</v>
      </c>
      <c r="M46" s="41">
        <v>7.145374586861E-4</v>
      </c>
      <c r="O46" s="41">
        <v>8595.0</v>
      </c>
      <c r="P46" s="41">
        <v>298.519488631</v>
      </c>
      <c r="Q46" s="41">
        <v>0.0047188898663436</v>
      </c>
      <c r="R46" s="41">
        <v>0.003520192660677</v>
      </c>
      <c r="S46" s="41">
        <v>0.005675133428992</v>
      </c>
      <c r="T46" s="41">
        <v>8.281664033555E-4</v>
      </c>
    </row>
    <row r="47">
      <c r="A47" s="41">
        <v>6674.0</v>
      </c>
      <c r="B47" s="41">
        <v>232.975188876998</v>
      </c>
      <c r="C47" s="41">
        <v>0.003676573695384</v>
      </c>
      <c r="D47" s="41">
        <v>0.0027477002890215</v>
      </c>
      <c r="E47" s="41">
        <v>0.004415360198952</v>
      </c>
      <c r="F47" s="41">
        <v>6.464264633055E-4</v>
      </c>
      <c r="H47" s="41">
        <v>8706.0</v>
      </c>
      <c r="I47" s="41">
        <v>252.281183722998</v>
      </c>
      <c r="J47" s="41">
        <v>0.0029631418398776</v>
      </c>
      <c r="K47" s="41">
        <v>0.0029754226427611</v>
      </c>
      <c r="L47" s="41">
        <v>0.004809446347554</v>
      </c>
      <c r="M47" s="41">
        <v>7.000091930888E-4</v>
      </c>
      <c r="O47" s="41">
        <v>9003.0</v>
      </c>
      <c r="P47" s="41">
        <v>326.12115432</v>
      </c>
      <c r="Q47" s="41">
        <v>0.0051530220130839</v>
      </c>
      <c r="R47" s="41">
        <v>0.0038459072147035</v>
      </c>
      <c r="S47" s="41">
        <v>0.006194953844848</v>
      </c>
      <c r="T47" s="41">
        <v>9.047805908138E-4</v>
      </c>
    </row>
    <row r="48">
      <c r="A48" s="41">
        <v>6203.0</v>
      </c>
      <c r="B48" s="41">
        <v>193.083255929999</v>
      </c>
      <c r="C48" s="41">
        <v>0.0030433998733567</v>
      </c>
      <c r="D48" s="41">
        <v>0.0022769222561944</v>
      </c>
      <c r="E48" s="41">
        <v>0.003651969866018</v>
      </c>
      <c r="F48" s="41">
        <v>5.356570933638E-4</v>
      </c>
      <c r="H48" s="41">
        <v>8255.0</v>
      </c>
      <c r="I48" s="41">
        <v>221.65190502</v>
      </c>
      <c r="J48" s="41">
        <v>0.0026052020877652</v>
      </c>
      <c r="K48" s="41">
        <v>0.0026142824560555</v>
      </c>
      <c r="L48" s="41">
        <v>0.004230604495592</v>
      </c>
      <c r="M48" s="41">
        <v>6.150402311666E-4</v>
      </c>
      <c r="O48" s="41">
        <v>8363.0</v>
      </c>
      <c r="P48" s="41">
        <v>267.403374360999</v>
      </c>
      <c r="Q48" s="41">
        <v>0.004221358613689</v>
      </c>
      <c r="R48" s="41">
        <v>0.0031532818332743</v>
      </c>
      <c r="S48" s="41">
        <v>0.005071570168364</v>
      </c>
      <c r="T48" s="41">
        <v>7.418239694333E-4</v>
      </c>
    </row>
    <row r="49">
      <c r="A49" s="41">
        <v>7255.0</v>
      </c>
      <c r="B49" s="41">
        <v>246.662122259</v>
      </c>
      <c r="C49" s="41">
        <v>0.0039014181708371</v>
      </c>
      <c r="D49" s="41">
        <v>0.0029091155368084</v>
      </c>
      <c r="E49" s="41">
        <v>0.0046935704215199</v>
      </c>
      <c r="F49" s="41">
        <v>6.843978378944E-4</v>
      </c>
      <c r="H49" s="41">
        <v>9502.0</v>
      </c>
      <c r="I49" s="41">
        <v>271.252468304999</v>
      </c>
      <c r="J49" s="41">
        <v>0.0031912830646469</v>
      </c>
      <c r="K49" s="41">
        <v>0.0031991882885166</v>
      </c>
      <c r="L49" s="41">
        <v>0.005186320260164</v>
      </c>
      <c r="M49" s="41">
        <v>7.526459898166E-4</v>
      </c>
      <c r="O49" s="41">
        <v>9682.0</v>
      </c>
      <c r="P49" s="41">
        <v>341.961111594</v>
      </c>
      <c r="Q49" s="41">
        <v>0.0054048925435371</v>
      </c>
      <c r="R49" s="41">
        <v>0.0040324659866332</v>
      </c>
      <c r="S49" s="41">
        <v>0.0064995115884939</v>
      </c>
      <c r="T49" s="41">
        <v>9.486675278972E-4</v>
      </c>
    </row>
    <row r="50">
      <c r="A50" s="41">
        <v>6451.0</v>
      </c>
      <c r="B50" s="41">
        <v>224.295821062</v>
      </c>
      <c r="C50" s="41">
        <v>0.0035439108644425</v>
      </c>
      <c r="D50" s="41">
        <v>0.0026455283926833</v>
      </c>
      <c r="E50" s="41">
        <v>0.0042597942411659</v>
      </c>
      <c r="F50" s="41">
        <v>6.223724282972E-4</v>
      </c>
      <c r="H50" s="41">
        <v>8642.0</v>
      </c>
      <c r="I50" s="41">
        <v>259.585935795001</v>
      </c>
      <c r="J50" s="41">
        <v>0.0030519104586445</v>
      </c>
      <c r="K50" s="41">
        <v>0.0030618472453819</v>
      </c>
      <c r="L50" s="41">
        <v>0.0049568853543939</v>
      </c>
      <c r="M50" s="41">
        <v>7.203321725416E-4</v>
      </c>
      <c r="O50" s="41">
        <v>8444.0</v>
      </c>
      <c r="P50" s="41">
        <v>290.434796781999</v>
      </c>
      <c r="Q50" s="41">
        <v>0.0045851601976074</v>
      </c>
      <c r="R50" s="41">
        <v>0.0034251927725881</v>
      </c>
      <c r="S50" s="41">
        <v>0.0055084382956359</v>
      </c>
      <c r="T50" s="41">
        <v>8.058034432333E-4</v>
      </c>
    </row>
    <row r="51">
      <c r="A51" s="41">
        <v>7145.0</v>
      </c>
      <c r="B51" s="41">
        <v>254.625249036</v>
      </c>
      <c r="C51" s="41">
        <v>0.0040265272037085</v>
      </c>
      <c r="D51" s="41">
        <v>0.0030034022232596</v>
      </c>
      <c r="E51" s="41">
        <v>0.0048428527631679</v>
      </c>
      <c r="F51" s="41">
        <v>7.065755187277E-4</v>
      </c>
      <c r="H51" s="41">
        <v>9370.0</v>
      </c>
      <c r="I51" s="41">
        <v>283.406446207998</v>
      </c>
      <c r="J51" s="41">
        <v>0.0033317500715447</v>
      </c>
      <c r="K51" s="41">
        <v>0.0033419366981326</v>
      </c>
      <c r="L51" s="41">
        <v>0.005412211829766</v>
      </c>
      <c r="M51" s="41">
        <v>7.862295647583E-4</v>
      </c>
      <c r="O51" s="41">
        <v>9517.0</v>
      </c>
      <c r="P51" s="41">
        <v>345.491250608</v>
      </c>
      <c r="Q51" s="41">
        <v>0.0054592009016439</v>
      </c>
      <c r="R51" s="41">
        <v>0.0040741527335971</v>
      </c>
      <c r="S51" s="41">
        <v>0.0065633913618199</v>
      </c>
      <c r="T51" s="41">
        <v>9.584585249916E-4</v>
      </c>
    </row>
    <row r="52">
      <c r="A52" s="41">
        <v>7073.0</v>
      </c>
      <c r="B52" s="41">
        <v>240.629595234</v>
      </c>
      <c r="C52" s="41">
        <v>0.0038052206952148</v>
      </c>
      <c r="D52" s="41">
        <v>0.0028382396554264</v>
      </c>
      <c r="E52" s="41">
        <v>0.004576791439208</v>
      </c>
      <c r="F52" s="41">
        <v>6.677176350666E-4</v>
      </c>
      <c r="H52" s="41">
        <v>9147.0</v>
      </c>
      <c r="I52" s="41">
        <v>261.163847693998</v>
      </c>
      <c r="J52" s="41">
        <v>0.0030700681137136</v>
      </c>
      <c r="K52" s="41">
        <v>0.0030805107169152</v>
      </c>
      <c r="L52" s="41">
        <v>0.0049858220442099</v>
      </c>
      <c r="M52" s="41">
        <v>7.247259755999E-4</v>
      </c>
      <c r="O52" s="41">
        <v>9309.0</v>
      </c>
      <c r="P52" s="41">
        <v>327.236689575998</v>
      </c>
      <c r="Q52" s="41">
        <v>0.0051706623919454</v>
      </c>
      <c r="R52" s="41">
        <v>0.0038591679563166</v>
      </c>
      <c r="S52" s="41">
        <v>0.006216055806174</v>
      </c>
      <c r="T52" s="41">
        <v>9.07888184936E-4</v>
      </c>
    </row>
    <row r="53">
      <c r="A53" s="41">
        <v>6953.0</v>
      </c>
      <c r="B53" s="41">
        <v>239.62663149</v>
      </c>
      <c r="C53" s="41">
        <v>0.0037859554930463</v>
      </c>
      <c r="D53" s="41">
        <v>0.0028259356846034</v>
      </c>
      <c r="E53" s="41">
        <v>0.0045510653075159</v>
      </c>
      <c r="F53" s="41">
        <v>6.648261194083E-4</v>
      </c>
      <c r="H53" s="41">
        <v>9085.0</v>
      </c>
      <c r="I53" s="41">
        <v>264.066927144</v>
      </c>
      <c r="J53" s="41">
        <v>0.0031033832511021</v>
      </c>
      <c r="K53" s="41">
        <v>0.0031142853231944</v>
      </c>
      <c r="L53" s="41">
        <v>0.005039535142736</v>
      </c>
      <c r="M53" s="41">
        <v>7.326352843972E-4</v>
      </c>
      <c r="O53" s="41">
        <v>9379.0</v>
      </c>
      <c r="P53" s="41">
        <v>339.569197285</v>
      </c>
      <c r="Q53" s="41">
        <v>0.005363800383388</v>
      </c>
      <c r="R53" s="41">
        <v>0.0040043221265049</v>
      </c>
      <c r="S53" s="41">
        <v>0.0064470054353779</v>
      </c>
      <c r="T53" s="41">
        <v>9.420328257861E-4</v>
      </c>
    </row>
    <row r="54">
      <c r="A54" s="41">
        <v>6804.0</v>
      </c>
      <c r="B54" s="41">
        <v>221.664680325</v>
      </c>
      <c r="C54" s="41">
        <v>0.0035029128832325</v>
      </c>
      <c r="D54" s="41">
        <v>0.0026144331522013</v>
      </c>
      <c r="E54" s="41">
        <v>0.0042110822577519</v>
      </c>
      <c r="F54" s="41">
        <v>6.150949842888E-4</v>
      </c>
      <c r="H54" s="41">
        <v>9051.0</v>
      </c>
      <c r="I54" s="41">
        <v>257.970577639</v>
      </c>
      <c r="J54" s="41">
        <v>0.0030307033552565</v>
      </c>
      <c r="K54" s="41">
        <v>0.0030421788424833</v>
      </c>
      <c r="L54" s="41">
        <v>0.004920456991918</v>
      </c>
      <c r="M54" s="41">
        <v>7.157029590083E-4</v>
      </c>
      <c r="O54" s="41">
        <v>10198.0</v>
      </c>
      <c r="P54" s="41">
        <v>415.846171847002</v>
      </c>
      <c r="Q54" s="41">
        <v>0.0065779542469482</v>
      </c>
      <c r="R54" s="41">
        <v>0.0049045563094424</v>
      </c>
      <c r="S54" s="41">
        <v>0.007913960775608</v>
      </c>
      <c r="T54" s="41">
        <v>0.0011538528750972</v>
      </c>
    </row>
    <row r="55">
      <c r="A55" s="41">
        <v>7213.0</v>
      </c>
      <c r="B55" s="41">
        <v>251.988394275</v>
      </c>
      <c r="C55" s="41">
        <v>0.0039842606662818</v>
      </c>
      <c r="D55" s="41">
        <v>0.0029713531467068</v>
      </c>
      <c r="E55" s="41">
        <v>0.004792670778578</v>
      </c>
      <c r="F55" s="41">
        <v>6.990273452194E-4</v>
      </c>
      <c r="H55" s="41">
        <v>9287.0</v>
      </c>
      <c r="I55" s="41">
        <v>266.887492246</v>
      </c>
      <c r="J55" s="41">
        <v>0.0031373820515871</v>
      </c>
      <c r="K55" s="41">
        <v>0.0031471313196083</v>
      </c>
      <c r="L55" s="41">
        <v>0.0050962660214539</v>
      </c>
      <c r="M55" s="41">
        <v>7.404130740388E-4</v>
      </c>
      <c r="O55" s="41">
        <v>9967.0</v>
      </c>
      <c r="P55" s="41">
        <v>380.262719782</v>
      </c>
      <c r="Q55" s="41">
        <v>0.0060104616653921</v>
      </c>
      <c r="R55" s="41">
        <v>0.0044844853456249</v>
      </c>
      <c r="S55" s="41">
        <v>0.0072274468930639</v>
      </c>
      <c r="T55" s="41">
        <v>0.0010550148800305</v>
      </c>
    </row>
    <row r="56">
      <c r="A56" s="41">
        <v>7012.0</v>
      </c>
      <c r="B56" s="41">
        <v>262.373559829</v>
      </c>
      <c r="C56" s="41">
        <v>0.0041503967723139</v>
      </c>
      <c r="D56" s="41">
        <v>0.003094565845425</v>
      </c>
      <c r="E56" s="41">
        <v>0.0049933409391139</v>
      </c>
      <c r="F56" s="41">
        <v>7.280376576222E-4</v>
      </c>
      <c r="H56" s="41">
        <v>9164.0</v>
      </c>
      <c r="I56" s="41">
        <v>283.411969684</v>
      </c>
      <c r="J56" s="41">
        <v>0.0033286485241492</v>
      </c>
      <c r="K56" s="41">
        <v>0.0033423930224978</v>
      </c>
      <c r="L56" s="41">
        <v>0.0054027884888939</v>
      </c>
      <c r="M56" s="41">
        <v>7.863153824388E-4</v>
      </c>
      <c r="O56" s="41">
        <v>9324.0</v>
      </c>
      <c r="P56" s="41">
        <v>359.940652163997</v>
      </c>
      <c r="Q56" s="41">
        <v>0.0056861576469011</v>
      </c>
      <c r="R56" s="41">
        <v>0.0042442884017312</v>
      </c>
      <c r="S56" s="41">
        <v>0.0068352849126679</v>
      </c>
      <c r="T56" s="41">
        <v>9.985128673472E-4</v>
      </c>
    </row>
    <row r="57">
      <c r="A57" s="41">
        <v>6822.0</v>
      </c>
      <c r="B57" s="41">
        <v>219.001954671</v>
      </c>
      <c r="C57" s="41">
        <v>0.003460048899201</v>
      </c>
      <c r="D57" s="41">
        <v>0.0025830496246451</v>
      </c>
      <c r="E57" s="41">
        <v>0.0041588152714939</v>
      </c>
      <c r="F57" s="41">
        <v>6.076972146444E-4</v>
      </c>
      <c r="H57" s="41">
        <v>8954.0</v>
      </c>
      <c r="I57" s="41">
        <v>247.448593909</v>
      </c>
      <c r="J57" s="41">
        <v>0.0029068524489123</v>
      </c>
      <c r="K57" s="41">
        <v>0.002918741256668</v>
      </c>
      <c r="L57" s="41">
        <v>0.0047182668301659</v>
      </c>
      <c r="M57" s="41">
        <v>6.866869162944E-4</v>
      </c>
      <c r="O57" s="41">
        <v>10028.0</v>
      </c>
      <c r="P57" s="41">
        <v>397.872934859999</v>
      </c>
      <c r="Q57" s="41">
        <v>0.0062898380314198</v>
      </c>
      <c r="R57" s="41">
        <v>0.0046923640521312</v>
      </c>
      <c r="S57" s="41">
        <v>0.007564080495704</v>
      </c>
      <c r="T57" s="41">
        <v>0.0011039317431944</v>
      </c>
    </row>
    <row r="58">
      <c r="A58" s="41">
        <v>6626.0</v>
      </c>
      <c r="B58" s="41">
        <v>236.530118403001</v>
      </c>
      <c r="C58" s="41">
        <v>0.003731810102313</v>
      </c>
      <c r="D58" s="41">
        <v>0.0027896927769951</v>
      </c>
      <c r="E58" s="41">
        <v>0.00448081469576</v>
      </c>
      <c r="F58" s="41">
        <v>6.563082837888E-4</v>
      </c>
      <c r="H58" s="41">
        <v>9263.0</v>
      </c>
      <c r="I58" s="41">
        <v>299.109494558999</v>
      </c>
      <c r="J58" s="41">
        <v>0.0035142361435388</v>
      </c>
      <c r="K58" s="41">
        <v>0.0035273870495562</v>
      </c>
      <c r="L58" s="41">
        <v>0.0057056715089779</v>
      </c>
      <c r="M58" s="41">
        <v>8.298635683638E-4</v>
      </c>
      <c r="O58" s="41">
        <v>8818.0</v>
      </c>
      <c r="P58" s="41">
        <v>320.988952847001</v>
      </c>
      <c r="Q58" s="41">
        <v>0.005070235273762</v>
      </c>
      <c r="R58" s="41">
        <v>0.003785544913952</v>
      </c>
      <c r="S58" s="41">
        <v>0.0060936801527179</v>
      </c>
      <c r="T58" s="41">
        <v>8.905675421583E-4</v>
      </c>
    </row>
    <row r="59">
      <c r="A59" s="41">
        <v>6428.0</v>
      </c>
      <c r="B59" s="41">
        <v>225.767037461</v>
      </c>
      <c r="C59" s="41">
        <v>0.0035644872460055</v>
      </c>
      <c r="D59" s="41">
        <v>0.0026626942248145</v>
      </c>
      <c r="E59" s="41">
        <v>0.00428227148137</v>
      </c>
      <c r="F59" s="41">
        <v>6.264360776638E-4</v>
      </c>
      <c r="H59" s="41">
        <v>8444.0</v>
      </c>
      <c r="I59" s="41">
        <v>249.085545427</v>
      </c>
      <c r="J59" s="41">
        <v>0.0029248774787032</v>
      </c>
      <c r="K59" s="41">
        <v>0.0029378582280049</v>
      </c>
      <c r="L59" s="41">
        <v>0.004746269352568</v>
      </c>
      <c r="M59" s="41">
        <v>6.911816179916E-4</v>
      </c>
      <c r="O59" s="41">
        <v>8671.0</v>
      </c>
      <c r="P59" s="41">
        <v>320.593174541001</v>
      </c>
      <c r="Q59" s="41">
        <v>0.0050603518883002</v>
      </c>
      <c r="R59" s="41">
        <v>0.0037809332948394</v>
      </c>
      <c r="S59" s="41">
        <v>0.006078383473814</v>
      </c>
      <c r="T59" s="41">
        <v>8.894823347555E-4</v>
      </c>
    </row>
    <row r="60">
      <c r="A60" s="41">
        <v>7383.0</v>
      </c>
      <c r="B60" s="41">
        <v>286.628958640001</v>
      </c>
      <c r="C60" s="41">
        <v>0.0045306584451751</v>
      </c>
      <c r="D60" s="41">
        <v>0.0033802192647965</v>
      </c>
      <c r="E60" s="41">
        <v>0.00544821824746</v>
      </c>
      <c r="F60" s="41">
        <v>7.952286888916E-4</v>
      </c>
      <c r="H60" s="41">
        <v>9349.0</v>
      </c>
      <c r="I60" s="41">
        <v>289.926725558001</v>
      </c>
      <c r="J60" s="41">
        <v>0.0034064282459193</v>
      </c>
      <c r="K60" s="41">
        <v>0.0034191339846771</v>
      </c>
      <c r="L60" s="41">
        <v>0.0055306847023219</v>
      </c>
      <c r="M60" s="41">
        <v>8.043983802222E-4</v>
      </c>
      <c r="O60" s="41">
        <v>9772.0</v>
      </c>
      <c r="P60" s="41">
        <v>392.029085555997</v>
      </c>
      <c r="Q60" s="41">
        <v>0.0061906473858513</v>
      </c>
      <c r="R60" s="41">
        <v>0.0046228313905215</v>
      </c>
      <c r="S60" s="41">
        <v>0.007439307618108</v>
      </c>
      <c r="T60" s="41">
        <v>0.0010875443610999</v>
      </c>
    </row>
    <row r="61">
      <c r="A61" s="41">
        <v>6762.0</v>
      </c>
      <c r="B61" s="41">
        <v>259.191793571999</v>
      </c>
      <c r="C61" s="41">
        <v>0.0040905937464057</v>
      </c>
      <c r="D61" s="41">
        <v>0.0030563936627833</v>
      </c>
      <c r="E61" s="41">
        <v>0.0049134608752099</v>
      </c>
      <c r="F61" s="41">
        <v>7.190610481805E-4</v>
      </c>
      <c r="H61" s="41">
        <v>9247.0</v>
      </c>
      <c r="I61" s="41">
        <v>308.219770777001</v>
      </c>
      <c r="J61" s="41">
        <v>0.003622449102924</v>
      </c>
      <c r="K61" s="41">
        <v>0.0036349571196375</v>
      </c>
      <c r="L61" s="41">
        <v>0.0058826655394619</v>
      </c>
      <c r="M61" s="41">
        <v>8.551644111139E-4</v>
      </c>
      <c r="O61" s="41">
        <v>8539.0</v>
      </c>
      <c r="P61" s="41">
        <v>306.505233613999</v>
      </c>
      <c r="Q61" s="41">
        <v>0.0048329263057781</v>
      </c>
      <c r="R61" s="41">
        <v>0.0036146639545437</v>
      </c>
      <c r="S61" s="41">
        <v>0.0058006871405459</v>
      </c>
      <c r="T61" s="41">
        <v>8.503685799583E-4</v>
      </c>
    </row>
    <row r="62">
      <c r="A62" s="41">
        <v>6808.0</v>
      </c>
      <c r="B62" s="41">
        <v>228.982105715</v>
      </c>
      <c r="C62" s="41">
        <v>0.0036155600341651</v>
      </c>
      <c r="D62" s="41">
        <v>0.0027000073599972</v>
      </c>
      <c r="E62" s="41">
        <v>0.0043446715312899</v>
      </c>
      <c r="F62" s="41">
        <v>6.352076682638E-4</v>
      </c>
      <c r="H62" s="41">
        <v>9004.0</v>
      </c>
      <c r="I62" s="41">
        <v>262.468740155</v>
      </c>
      <c r="J62" s="41">
        <v>0.0030811544744472</v>
      </c>
      <c r="K62" s="41">
        <v>0.0030955636087757</v>
      </c>
      <c r="L62" s="41">
        <v>0.0049989889991879</v>
      </c>
      <c r="M62" s="41">
        <v>7.282516291138E-4</v>
      </c>
      <c r="O62" s="41">
        <v>8940.0</v>
      </c>
      <c r="P62" s="41">
        <v>309.805018838</v>
      </c>
      <c r="Q62" s="41">
        <v>0.0048822236971708</v>
      </c>
      <c r="R62" s="41">
        <v>0.0036537377592084</v>
      </c>
      <c r="S62" s="41">
        <v>0.0058571474634919</v>
      </c>
      <c r="T62" s="41">
        <v>8.595480707083E-4</v>
      </c>
    </row>
    <row r="63">
      <c r="A63" s="41">
        <v>6843.0</v>
      </c>
      <c r="B63" s="41">
        <v>240.175726903</v>
      </c>
      <c r="C63" s="41">
        <v>0.0037957729236207</v>
      </c>
      <c r="D63" s="41">
        <v>0.0028324802383416</v>
      </c>
      <c r="E63" s="41">
        <v>0.004563825317724</v>
      </c>
      <c r="F63" s="41">
        <v>6.663749647277E-4</v>
      </c>
      <c r="H63" s="41">
        <v>8564.0</v>
      </c>
      <c r="I63" s="41">
        <v>235.618607698001</v>
      </c>
      <c r="J63" s="41">
        <v>0.0027653636332699</v>
      </c>
      <c r="K63" s="41">
        <v>0.002778758192793</v>
      </c>
      <c r="L63" s="41">
        <v>0.0044860446999439</v>
      </c>
      <c r="M63" s="41">
        <v>6.537426339527E-4</v>
      </c>
      <c r="O63" s="41">
        <v>9103.0</v>
      </c>
      <c r="P63" s="41">
        <v>328.681312491</v>
      </c>
      <c r="Q63" s="41">
        <v>0.0051879833424512</v>
      </c>
      <c r="R63" s="41">
        <v>0.0038761151570553</v>
      </c>
      <c r="S63" s="41">
        <v>0.0062318924855099</v>
      </c>
      <c r="T63" s="41">
        <v>9.118960974833E-4</v>
      </c>
    </row>
    <row r="64">
      <c r="A64" s="41">
        <v>6941.0</v>
      </c>
      <c r="B64" s="41">
        <v>266.199359707001</v>
      </c>
      <c r="C64" s="41">
        <v>0.0042061038549465</v>
      </c>
      <c r="D64" s="41">
        <v>0.0031399654890055</v>
      </c>
      <c r="E64" s="41">
        <v>0.0050556101555959</v>
      </c>
      <c r="F64" s="41">
        <v>7.386973749138E-4</v>
      </c>
      <c r="H64" s="41">
        <v>8814.0</v>
      </c>
      <c r="I64" s="41">
        <v>266.935344916997</v>
      </c>
      <c r="J64" s="41">
        <v>0.0031334621910516</v>
      </c>
      <c r="K64" s="41">
        <v>0.0031479588063785</v>
      </c>
      <c r="L64" s="41">
        <v>0.0050840701783639</v>
      </c>
      <c r="M64" s="41">
        <v>7.405570135277E-4</v>
      </c>
      <c r="O64" s="41">
        <v>9079.0</v>
      </c>
      <c r="P64" s="41">
        <v>351.496366311999</v>
      </c>
      <c r="Q64" s="41">
        <v>0.0055458238938077</v>
      </c>
      <c r="R64" s="41">
        <v>0.0041449791571271</v>
      </c>
      <c r="S64" s="41">
        <v>0.006659885327904</v>
      </c>
      <c r="T64" s="41">
        <v>9.75135841675E-4</v>
      </c>
    </row>
    <row r="65">
      <c r="A65" s="41">
        <v>7112.0</v>
      </c>
      <c r="B65" s="41">
        <v>260.573801669001</v>
      </c>
      <c r="C65" s="41">
        <v>0.0041196549236811</v>
      </c>
      <c r="D65" s="41">
        <v>0.0030729968159285</v>
      </c>
      <c r="E65" s="41">
        <v>0.004954698685978</v>
      </c>
      <c r="F65" s="41">
        <v>7.229495377E-4</v>
      </c>
      <c r="H65" s="41">
        <v>9985.0</v>
      </c>
      <c r="I65" s="41">
        <v>331.123452390998</v>
      </c>
      <c r="J65" s="41">
        <v>0.0038915164994313</v>
      </c>
      <c r="K65" s="41">
        <v>0.0039049401066598</v>
      </c>
      <c r="L65" s="41">
        <v>0.006319618111246</v>
      </c>
      <c r="M65" s="41">
        <v>9.186962162944E-4</v>
      </c>
      <c r="O65" s="41">
        <v>9383.0</v>
      </c>
      <c r="P65" s="41">
        <v>350.473299799999</v>
      </c>
      <c r="Q65" s="41">
        <v>0.0055297946853373</v>
      </c>
      <c r="R65" s="41">
        <v>0.0041327056436693</v>
      </c>
      <c r="S65" s="41">
        <v>0.0066409903127879</v>
      </c>
      <c r="T65" s="41">
        <v>9.722563938555E-4</v>
      </c>
    </row>
    <row r="66">
      <c r="A66" s="41">
        <v>6558.0</v>
      </c>
      <c r="B66" s="41">
        <v>226.044082944001</v>
      </c>
      <c r="C66" s="41">
        <v>0.0035695297676667</v>
      </c>
      <c r="D66" s="41">
        <v>0.002666068264209</v>
      </c>
      <c r="E66" s="41">
        <v>0.004288821764388</v>
      </c>
      <c r="F66" s="41">
        <v>6.272226807972E-4</v>
      </c>
      <c r="H66" s="41">
        <v>8382.0</v>
      </c>
      <c r="I66" s="41">
        <v>234.007640736002</v>
      </c>
      <c r="J66" s="41">
        <v>0.002747047028398</v>
      </c>
      <c r="K66" s="41">
        <v>0.0027598560381312</v>
      </c>
      <c r="L66" s="41">
        <v>0.0044569516211139</v>
      </c>
      <c r="M66" s="41">
        <v>6.492887544861E-4</v>
      </c>
      <c r="O66" s="41">
        <v>8723.0</v>
      </c>
      <c r="P66" s="41">
        <v>309.956838238998</v>
      </c>
      <c r="Q66" s="41">
        <v>0.0048908284934593</v>
      </c>
      <c r="R66" s="41">
        <v>0.0036554538320237</v>
      </c>
      <c r="S66" s="41">
        <v>0.00587327969862</v>
      </c>
      <c r="T66" s="41">
        <v>8.59977390225E-4</v>
      </c>
    </row>
    <row r="67">
      <c r="A67" s="41">
        <v>7106.0</v>
      </c>
      <c r="B67" s="41">
        <v>283.064906038001</v>
      </c>
      <c r="C67" s="41">
        <v>0.0044715356961015</v>
      </c>
      <c r="D67" s="41">
        <v>0.0033383212347375</v>
      </c>
      <c r="E67" s="41">
        <v>0.005374374577274</v>
      </c>
      <c r="F67" s="41">
        <v>7.853865233777E-4</v>
      </c>
      <c r="H67" s="41">
        <v>9281.0</v>
      </c>
      <c r="I67" s="41">
        <v>303.640957946998</v>
      </c>
      <c r="J67" s="41">
        <v>0.0035636640983729</v>
      </c>
      <c r="K67" s="41">
        <v>0.0035810820865438</v>
      </c>
      <c r="L67" s="41">
        <v>0.0057809018469399</v>
      </c>
      <c r="M67" s="41">
        <v>8.424738330444E-4</v>
      </c>
      <c r="O67" s="41">
        <v>10113.0</v>
      </c>
      <c r="P67" s="41">
        <v>450.707352350997</v>
      </c>
      <c r="Q67" s="41">
        <v>0.007116337511813</v>
      </c>
      <c r="R67" s="41">
        <v>0.0053149425759019</v>
      </c>
      <c r="S67" s="41">
        <v>0.0085506460071779</v>
      </c>
      <c r="T67" s="41">
        <v>0.0012503725111249</v>
      </c>
    </row>
    <row r="68">
      <c r="A68" s="41">
        <v>6732.0</v>
      </c>
      <c r="B68" s="41">
        <v>239.721208162998</v>
      </c>
      <c r="C68" s="41">
        <v>0.0037866190789266</v>
      </c>
      <c r="D68" s="41">
        <v>0.0028273063979326</v>
      </c>
      <c r="E68" s="41">
        <v>0.0045507805850659</v>
      </c>
      <c r="F68" s="41">
        <v>6.651496651527E-4</v>
      </c>
      <c r="H68" s="41">
        <v>8795.0</v>
      </c>
      <c r="I68" s="41">
        <v>261.277582842998</v>
      </c>
      <c r="J68" s="41">
        <v>0.0030648440972845</v>
      </c>
      <c r="K68" s="41">
        <v>0.0030810847191763</v>
      </c>
      <c r="L68" s="41">
        <v>0.0049701639761279</v>
      </c>
      <c r="M68" s="41">
        <v>7.248512087277E-4</v>
      </c>
      <c r="O68" s="41">
        <v>9207.0</v>
      </c>
      <c r="P68" s="41">
        <v>354.408914555999</v>
      </c>
      <c r="Q68" s="41">
        <v>0.0055953714621584</v>
      </c>
      <c r="R68" s="41">
        <v>0.004178888825148</v>
      </c>
      <c r="S68" s="41">
        <v>0.006723247878594</v>
      </c>
      <c r="T68" s="41">
        <v>9.831086474249E-4</v>
      </c>
    </row>
    <row r="69">
      <c r="A69" s="41">
        <v>7022.0</v>
      </c>
      <c r="B69" s="41">
        <v>250.777038963999</v>
      </c>
      <c r="C69" s="41">
        <v>0.0039623308267201</v>
      </c>
      <c r="D69" s="41">
        <v>0.0029579448395214</v>
      </c>
      <c r="E69" s="41">
        <v>0.004762632698992</v>
      </c>
      <c r="F69" s="41">
        <v>6.958921018944E-4</v>
      </c>
      <c r="H69" s="41">
        <v>8971.0</v>
      </c>
      <c r="I69" s="41">
        <v>259.511047502001</v>
      </c>
      <c r="J69" s="41">
        <v>0.0030457629632691</v>
      </c>
      <c r="K69" s="41">
        <v>0.0030607556051389</v>
      </c>
      <c r="L69" s="41">
        <v>0.004940642285844</v>
      </c>
      <c r="M69" s="41">
        <v>7.200636911361E-4</v>
      </c>
      <c r="O69" s="41">
        <v>10556.0</v>
      </c>
      <c r="P69" s="41">
        <v>470.210110647</v>
      </c>
      <c r="Q69" s="41">
        <v>0.0074272085680895</v>
      </c>
      <c r="R69" s="41">
        <v>0.0055445158486762</v>
      </c>
      <c r="S69" s="41">
        <v>0.0089273957530219</v>
      </c>
      <c r="T69" s="41">
        <v>0.0013043771939666</v>
      </c>
    </row>
    <row r="70">
      <c r="A70" s="41">
        <v>6508.0</v>
      </c>
      <c r="B70" s="41">
        <v>227.861008567997</v>
      </c>
      <c r="C70" s="41">
        <v>0.003597457519618</v>
      </c>
      <c r="D70" s="41">
        <v>0.0026871606199743</v>
      </c>
      <c r="E70" s="41">
        <v>0.0043221156799119</v>
      </c>
      <c r="F70" s="41">
        <v>6.321583305444E-4</v>
      </c>
      <c r="H70" s="41">
        <v>8772.0</v>
      </c>
      <c r="I70" s="41">
        <v>270.060774124001</v>
      </c>
      <c r="J70" s="41">
        <v>0.0031640222286743</v>
      </c>
      <c r="K70" s="41">
        <v>0.0031846108133791</v>
      </c>
      <c r="L70" s="41">
        <v>0.0051262563232239</v>
      </c>
      <c r="M70" s="41">
        <v>7.492267200555E-4</v>
      </c>
      <c r="O70" s="41">
        <v>9613.0</v>
      </c>
      <c r="P70" s="41">
        <v>407.922784836999</v>
      </c>
      <c r="Q70" s="41">
        <v>0.0064432769200387</v>
      </c>
      <c r="R70" s="41">
        <v>0.00480967766592</v>
      </c>
      <c r="S70" s="41">
        <v>0.00774507286272</v>
      </c>
      <c r="T70" s="41">
        <v>0.0011315485094277</v>
      </c>
    </row>
    <row r="71">
      <c r="A71" s="41">
        <v>7582.0</v>
      </c>
      <c r="B71" s="41">
        <v>306.288443789002</v>
      </c>
      <c r="C71" s="41">
        <v>0.0048460020834245</v>
      </c>
      <c r="D71" s="41">
        <v>0.0036120825724493</v>
      </c>
      <c r="E71" s="41">
        <v>0.00583161438751</v>
      </c>
      <c r="F71" s="41">
        <v>8.497972474028E-4</v>
      </c>
      <c r="H71" s="41">
        <v>8787.0</v>
      </c>
      <c r="I71" s="41">
        <v>247.519908993999</v>
      </c>
      <c r="J71" s="41">
        <v>0.0029034762118428</v>
      </c>
      <c r="K71" s="41">
        <v>0.0029189897988637</v>
      </c>
      <c r="L71" s="41">
        <v>0.0047083279333259</v>
      </c>
      <c r="M71" s="41">
        <v>6.867095055055E-4</v>
      </c>
      <c r="O71" s="41">
        <v>9083.0</v>
      </c>
      <c r="P71" s="41">
        <v>323.24209956</v>
      </c>
      <c r="Q71" s="41">
        <v>0.0050951223041452</v>
      </c>
      <c r="R71" s="41">
        <v>0.0038120685556825</v>
      </c>
      <c r="S71" s="41">
        <v>0.0061137787799079</v>
      </c>
      <c r="T71" s="41">
        <v>8.968083341027E-4</v>
      </c>
    </row>
    <row r="72">
      <c r="A72" s="41">
        <v>7059.0</v>
      </c>
      <c r="B72" s="41">
        <v>280.718543295999</v>
      </c>
      <c r="C72" s="41">
        <v>0.0044293425685987</v>
      </c>
      <c r="D72" s="41">
        <v>0.0033110566853005</v>
      </c>
      <c r="E72" s="41">
        <v>0.005318432588076</v>
      </c>
      <c r="F72" s="41">
        <v>7.789697589138E-4</v>
      </c>
      <c r="H72" s="41">
        <v>9190.0</v>
      </c>
      <c r="I72" s="41">
        <v>296.462624895</v>
      </c>
      <c r="J72" s="41">
        <v>0.0034813108827492</v>
      </c>
      <c r="K72" s="41">
        <v>0.0034965163649548</v>
      </c>
      <c r="L72" s="41">
        <v>0.005649519241834</v>
      </c>
      <c r="M72" s="41">
        <v>8.226059078222E-4</v>
      </c>
      <c r="O72" s="41">
        <v>9573.0</v>
      </c>
      <c r="P72" s="41">
        <v>398.703219638999</v>
      </c>
      <c r="Q72" s="41">
        <v>0.0062921323906898</v>
      </c>
      <c r="R72" s="41">
        <v>0.0047017123599229</v>
      </c>
      <c r="S72" s="41">
        <v>0.0075574204903759</v>
      </c>
      <c r="T72" s="41">
        <v>0.0011061169371611</v>
      </c>
    </row>
    <row r="73">
      <c r="A73" s="41">
        <v>7001.0</v>
      </c>
      <c r="B73" s="41">
        <v>257.456033304999</v>
      </c>
      <c r="C73" s="41">
        <v>0.0040663294029996</v>
      </c>
      <c r="D73" s="41">
        <v>0.0030360225142506</v>
      </c>
      <c r="E73" s="41">
        <v>0.004887091965226</v>
      </c>
      <c r="F73" s="41">
        <v>7.142607082416E-4</v>
      </c>
      <c r="H73" s="41">
        <v>8960.0</v>
      </c>
      <c r="I73" s="41">
        <v>265.435637755999</v>
      </c>
      <c r="J73" s="41">
        <v>0.0031173229025214</v>
      </c>
      <c r="K73" s="41">
        <v>0.0031304611906306</v>
      </c>
      <c r="L73" s="41">
        <v>0.005059404603076</v>
      </c>
      <c r="M73" s="41">
        <v>7.365057792861E-4</v>
      </c>
      <c r="O73" s="41">
        <v>9388.0</v>
      </c>
      <c r="P73" s="41">
        <v>360.241086762998</v>
      </c>
      <c r="Q73" s="41">
        <v>0.0056829463735592</v>
      </c>
      <c r="R73" s="41">
        <v>0.0042479822879208</v>
      </c>
      <c r="S73" s="41">
        <v>0.006823957959162</v>
      </c>
      <c r="T73" s="41">
        <v>9.993248019083E-4</v>
      </c>
    </row>
    <row r="74">
      <c r="A74" s="41">
        <v>6881.0</v>
      </c>
      <c r="B74" s="41">
        <v>249.748028640002</v>
      </c>
      <c r="C74" s="41">
        <v>0.0039397666256536</v>
      </c>
      <c r="D74" s="41">
        <v>0.0029450863214616</v>
      </c>
      <c r="E74" s="41">
        <v>0.00473059267336</v>
      </c>
      <c r="F74" s="41">
        <v>6.928615549721E-4</v>
      </c>
      <c r="H74" s="41">
        <v>8718.0</v>
      </c>
      <c r="I74" s="41">
        <v>250.003065658998</v>
      </c>
      <c r="J74" s="41">
        <v>0.0029311258153891</v>
      </c>
      <c r="K74" s="41">
        <v>0.0029480523748575</v>
      </c>
      <c r="L74" s="41">
        <v>0.0047515907457139</v>
      </c>
      <c r="M74" s="41">
        <v>6.935580246138E-4</v>
      </c>
      <c r="O74" s="41">
        <v>8996.0</v>
      </c>
      <c r="P74" s="41">
        <v>327.189821061001</v>
      </c>
      <c r="Q74" s="41">
        <v>0.0051547670215292</v>
      </c>
      <c r="R74" s="41">
        <v>0.0038580437855111</v>
      </c>
      <c r="S74" s="41">
        <v>0.0061836957802859</v>
      </c>
      <c r="T74" s="41">
        <v>9.076086934416E-4</v>
      </c>
    </row>
    <row r="75">
      <c r="A75" s="41">
        <v>7279.0</v>
      </c>
      <c r="B75" s="41">
        <v>298.404574028001</v>
      </c>
      <c r="C75" s="41">
        <v>0.0047177772809198</v>
      </c>
      <c r="D75" s="41">
        <v>0.0035192442980276</v>
      </c>
      <c r="E75" s="41">
        <v>0.0056739614836099</v>
      </c>
      <c r="F75" s="41">
        <v>8.279234454583E-4</v>
      </c>
      <c r="H75" s="41">
        <v>9176.0</v>
      </c>
      <c r="I75" s="41">
        <v>294.752143027999</v>
      </c>
      <c r="J75" s="41">
        <v>0.0034578188241813</v>
      </c>
      <c r="K75" s="41">
        <v>0.0034766602981353</v>
      </c>
      <c r="L75" s="41">
        <v>0.0056067847632019</v>
      </c>
      <c r="M75" s="41">
        <v>8.179275657222E-4</v>
      </c>
      <c r="O75" s="41">
        <v>9352.0</v>
      </c>
      <c r="P75" s="41">
        <v>376.194288501003</v>
      </c>
      <c r="Q75" s="41">
        <v>0.0059299714383047</v>
      </c>
      <c r="R75" s="41">
        <v>0.0044355343230416</v>
      </c>
      <c r="S75" s="41">
        <v>0.00711695430467</v>
      </c>
      <c r="T75" s="41">
        <v>0.0010434875190583</v>
      </c>
    </row>
    <row r="76">
      <c r="A76" s="41">
        <v>6838.0</v>
      </c>
      <c r="B76" s="41">
        <v>252.410363848001</v>
      </c>
      <c r="C76" s="41">
        <v>0.0039807478492533</v>
      </c>
      <c r="D76" s="41">
        <v>0.0029768793111952</v>
      </c>
      <c r="E76" s="41">
        <v>0.0047783707671379</v>
      </c>
      <c r="F76" s="41">
        <v>7.00339544175E-4</v>
      </c>
      <c r="H76" s="41">
        <v>8487.0</v>
      </c>
      <c r="I76" s="41">
        <v>241.024254976</v>
      </c>
      <c r="J76" s="41">
        <v>0.0028270252531617</v>
      </c>
      <c r="K76" s="41">
        <v>0.0028427306554776</v>
      </c>
      <c r="L76" s="41">
        <v>0.004583608111328</v>
      </c>
      <c r="M76" s="41">
        <v>6.687731754138E-4</v>
      </c>
      <c r="O76" s="41">
        <v>9097.0</v>
      </c>
      <c r="P76" s="41">
        <v>334.699872242999</v>
      </c>
      <c r="Q76" s="41">
        <v>0.0052881846752662</v>
      </c>
      <c r="R76" s="41">
        <v>0.0039471584686513</v>
      </c>
      <c r="S76" s="41">
        <v>0.006356966474458</v>
      </c>
      <c r="T76" s="41">
        <v>9.286185401221E-4</v>
      </c>
    </row>
    <row r="77">
      <c r="A77" s="41">
        <v>7030.0</v>
      </c>
      <c r="B77" s="41">
        <v>271.016125264999</v>
      </c>
      <c r="C77" s="41">
        <v>0.0042715672139346</v>
      </c>
      <c r="D77" s="41">
        <v>0.0031952653997186</v>
      </c>
      <c r="E77" s="41">
        <v>0.0051263685455359</v>
      </c>
      <c r="F77" s="41">
        <v>7.516911619278E-4</v>
      </c>
      <c r="H77" s="41">
        <v>8828.0</v>
      </c>
      <c r="I77" s="41">
        <v>263.391661949001</v>
      </c>
      <c r="J77" s="41">
        <v>0.0030900330971198</v>
      </c>
      <c r="K77" s="41">
        <v>0.0031065231018025</v>
      </c>
      <c r="L77" s="41">
        <v>0.00501089011982</v>
      </c>
      <c r="M77" s="41">
        <v>7.308147163388E-4</v>
      </c>
      <c r="O77" s="41">
        <v>9073.0</v>
      </c>
      <c r="P77" s="41">
        <v>313.103456734999</v>
      </c>
      <c r="Q77" s="41">
        <v>0.0049657210644928</v>
      </c>
      <c r="R77" s="41">
        <v>0.0036928926898564</v>
      </c>
      <c r="S77" s="41">
        <v>0.0059861236777839</v>
      </c>
      <c r="T77" s="41">
        <v>8.687754270778E-4</v>
      </c>
    </row>
    <row r="78">
      <c r="A78" s="41">
        <v>7131.0</v>
      </c>
      <c r="B78" s="41">
        <v>270.466438045998</v>
      </c>
      <c r="C78" s="41">
        <v>0.0042747707627396</v>
      </c>
      <c r="D78" s="41">
        <v>0.0031899226121999</v>
      </c>
      <c r="E78" s="41">
        <v>0.005139752445132</v>
      </c>
      <c r="F78" s="41">
        <v>7.504547747555E-4</v>
      </c>
      <c r="H78" s="41">
        <v>9619.0</v>
      </c>
      <c r="I78" s="41">
        <v>314.706154162999</v>
      </c>
      <c r="J78" s="41">
        <v>0.0036908977069745</v>
      </c>
      <c r="K78" s="41">
        <v>0.0037114658035681</v>
      </c>
      <c r="L78" s="41">
        <v>0.0059841775651159</v>
      </c>
      <c r="M78" s="41">
        <v>8.731444664527E-4</v>
      </c>
      <c r="O78" s="41">
        <v>9912.0</v>
      </c>
      <c r="P78" s="41">
        <v>385.620080398999</v>
      </c>
      <c r="Q78" s="41">
        <v>0.0061209039798063</v>
      </c>
      <c r="R78" s="41">
        <v>0.0045475546008123</v>
      </c>
      <c r="S78" s="41">
        <v>0.007384121462848</v>
      </c>
      <c r="T78" s="41">
        <v>0.0010698638810833</v>
      </c>
    </row>
    <row r="79">
      <c r="A79" s="41">
        <v>6536.0</v>
      </c>
      <c r="B79" s="41">
        <v>221.044745562998</v>
      </c>
      <c r="C79" s="41">
        <v>0.0034861692548671</v>
      </c>
      <c r="D79" s="41">
        <v>0.002606533651536</v>
      </c>
      <c r="E79" s="41">
        <v>0.0041853158482499</v>
      </c>
      <c r="F79" s="41">
        <v>6.131954038472E-4</v>
      </c>
      <c r="H79" s="41">
        <v>9459.0</v>
      </c>
      <c r="I79" s="41">
        <v>313.077451893997</v>
      </c>
      <c r="J79" s="41">
        <v>0.0036719739511824</v>
      </c>
      <c r="K79" s="41">
        <v>0.0036920344139729</v>
      </c>
      <c r="L79" s="41">
        <v>0.005953980596514</v>
      </c>
      <c r="M79" s="41">
        <v>8.685851511111E-4</v>
      </c>
      <c r="O79" s="41">
        <v>9888.0</v>
      </c>
      <c r="P79" s="41">
        <v>395.035943455997</v>
      </c>
      <c r="Q79" s="41">
        <v>0.0062721880489889</v>
      </c>
      <c r="R79" s="41">
        <v>0.0046583149637104</v>
      </c>
      <c r="S79" s="41">
        <v>0.007568688554946</v>
      </c>
      <c r="T79" s="41">
        <v>0.0010958820761694</v>
      </c>
    </row>
    <row r="80">
      <c r="A80" s="41">
        <v>7171.0</v>
      </c>
      <c r="B80" s="41">
        <v>272.496765369</v>
      </c>
      <c r="C80" s="41">
        <v>0.0042969364311313</v>
      </c>
      <c r="D80" s="41">
        <v>0.0032135558973791</v>
      </c>
      <c r="E80" s="41">
        <v>0.0051576421816659</v>
      </c>
      <c r="F80" s="41">
        <v>7.560143120805E-4</v>
      </c>
      <c r="H80" s="41">
        <v>9074.0</v>
      </c>
      <c r="I80" s="41">
        <v>274.744310924998</v>
      </c>
      <c r="J80" s="41">
        <v>0.0032196689894298</v>
      </c>
      <c r="K80" s="41">
        <v>0.003240219559704</v>
      </c>
      <c r="L80" s="41">
        <v>0.005216930284652</v>
      </c>
      <c r="M80" s="41">
        <v>7.622870379916E-4</v>
      </c>
      <c r="O80" s="41">
        <v>9766.0</v>
      </c>
      <c r="P80" s="41">
        <v>368.135773294998</v>
      </c>
      <c r="Q80" s="41">
        <v>0.0058413181793744</v>
      </c>
      <c r="R80" s="41">
        <v>0.0043418237958328</v>
      </c>
      <c r="S80" s="41">
        <v>0.0070444000799599</v>
      </c>
      <c r="T80" s="41">
        <v>0.00102144203265</v>
      </c>
    </row>
    <row r="81">
      <c r="A81" s="41">
        <v>6939.0</v>
      </c>
      <c r="B81" s="41">
        <v>252.886389553998</v>
      </c>
      <c r="C81" s="41">
        <v>0.0039889568721502</v>
      </c>
      <c r="D81" s="41">
        <v>0.0029823723092499</v>
      </c>
      <c r="E81" s="41">
        <v>0.004789020220102</v>
      </c>
      <c r="F81" s="41">
        <v>7.016340500916E-4</v>
      </c>
      <c r="H81" s="41">
        <v>8600.0</v>
      </c>
      <c r="I81" s="41">
        <v>242.226015800999</v>
      </c>
      <c r="J81" s="41">
        <v>0.0028422492767049</v>
      </c>
      <c r="K81" s="41">
        <v>0.0028565038477707</v>
      </c>
      <c r="L81" s="41">
        <v>0.00461018841037</v>
      </c>
      <c r="M81" s="41">
        <v>6.720132723055E-4</v>
      </c>
      <c r="O81" s="41">
        <v>9769.0</v>
      </c>
      <c r="P81" s="41">
        <v>375.634830653998</v>
      </c>
      <c r="Q81" s="41">
        <v>0.0059584782730062</v>
      </c>
      <c r="R81" s="41">
        <v>0.0044292552847243</v>
      </c>
      <c r="S81" s="41">
        <v>0.0071852396370759</v>
      </c>
      <c r="T81" s="41">
        <v>0.0010420331877666</v>
      </c>
    </row>
    <row r="82">
      <c r="A82" s="41">
        <v>6600.0</v>
      </c>
      <c r="B82" s="41">
        <v>240.118118252001</v>
      </c>
      <c r="C82" s="41">
        <v>0.0037876307941992</v>
      </c>
      <c r="D82" s="41">
        <v>0.002831417339302</v>
      </c>
      <c r="E82" s="41">
        <v>0.0045478550271699</v>
      </c>
      <c r="F82" s="41">
        <v>6.661132872139E-4</v>
      </c>
      <c r="H82" s="41">
        <v>8793.0</v>
      </c>
      <c r="I82" s="41">
        <v>274.502599980998</v>
      </c>
      <c r="J82" s="41">
        <v>0.003218015549412</v>
      </c>
      <c r="K82" s="41">
        <v>0.0032369732083485</v>
      </c>
      <c r="L82" s="41">
        <v>0.0052162022285139</v>
      </c>
      <c r="M82" s="41">
        <v>7.615268637833E-4</v>
      </c>
      <c r="O82" s="41">
        <v>8878.0</v>
      </c>
      <c r="P82" s="41">
        <v>316.187729174998</v>
      </c>
      <c r="Q82" s="41">
        <v>0.0050111365992433</v>
      </c>
      <c r="R82" s="41">
        <v>0.0037287657192444</v>
      </c>
      <c r="S82" s="41">
        <v>0.0060382837195119</v>
      </c>
      <c r="T82" s="41">
        <v>8.772104415777E-4</v>
      </c>
    </row>
    <row r="83">
      <c r="A83" s="41">
        <v>6451.0</v>
      </c>
      <c r="B83" s="41">
        <v>220.448424054</v>
      </c>
      <c r="C83" s="41">
        <v>0.0034760413974997</v>
      </c>
      <c r="D83" s="41">
        <v>0.0025998638439466</v>
      </c>
      <c r="E83" s="41">
        <v>0.0041720233376159</v>
      </c>
      <c r="F83" s="41">
        <v>6.116449287722E-4</v>
      </c>
      <c r="H83" s="41">
        <v>8354.0</v>
      </c>
      <c r="I83" s="41">
        <v>241.918382806001</v>
      </c>
      <c r="J83" s="41">
        <v>0.0028314227797917</v>
      </c>
      <c r="K83" s="41">
        <v>0.0028532327171091</v>
      </c>
      <c r="L83" s="41">
        <v>0.004583215055458</v>
      </c>
      <c r="M83" s="41">
        <v>6.712563706944E-4</v>
      </c>
      <c r="O83" s="41">
        <v>8844.0</v>
      </c>
      <c r="P83" s="41">
        <v>308.630292431</v>
      </c>
      <c r="Q83" s="41">
        <v>0.0048917376425733</v>
      </c>
      <c r="R83" s="41">
        <v>0.0036396575696762</v>
      </c>
      <c r="S83" s="41">
        <v>0.0058947336046719</v>
      </c>
      <c r="T83" s="41">
        <v>8.562508891361E-4</v>
      </c>
    </row>
    <row r="84">
      <c r="A84" s="41">
        <v>6654.0</v>
      </c>
      <c r="B84" s="41">
        <v>239.817563956999</v>
      </c>
      <c r="C84" s="41">
        <v>0.0037801761272438</v>
      </c>
      <c r="D84" s="41">
        <v>0.0028283979535889</v>
      </c>
      <c r="E84" s="41">
        <v>0.004535737239698</v>
      </c>
      <c r="F84" s="41">
        <v>6.654158466694E-4</v>
      </c>
      <c r="H84" s="41">
        <v>8599.0</v>
      </c>
      <c r="I84" s="41">
        <v>253.400898797001</v>
      </c>
      <c r="J84" s="41">
        <v>0.0029707764572089</v>
      </c>
      <c r="K84" s="41">
        <v>0.0029884863388736</v>
      </c>
      <c r="L84" s="41">
        <v>0.0048151652410179</v>
      </c>
      <c r="M84" s="41">
        <v>7.030881280472E-4</v>
      </c>
      <c r="O84" s="41">
        <v>8765.0</v>
      </c>
      <c r="P84" s="41">
        <v>297.869016127999</v>
      </c>
      <c r="Q84" s="41">
        <v>0.0047230343492893</v>
      </c>
      <c r="R84" s="41">
        <v>0.0035123717695346</v>
      </c>
      <c r="S84" s="41">
        <v>0.005693611777108</v>
      </c>
      <c r="T84" s="41">
        <v>8.263123291416E-4</v>
      </c>
    </row>
    <row r="85">
      <c r="A85" s="41">
        <v>7282.0</v>
      </c>
      <c r="B85" s="41">
        <v>285.882582048001</v>
      </c>
      <c r="C85" s="41">
        <v>0.0045087644834069</v>
      </c>
      <c r="D85" s="41">
        <v>0.0033714570946215</v>
      </c>
      <c r="E85" s="41">
        <v>0.005412549885592</v>
      </c>
      <c r="F85" s="41">
        <v>7.931537996083E-4</v>
      </c>
      <c r="H85" s="41">
        <v>9051.0</v>
      </c>
      <c r="I85" s="41">
        <v>274.145260146997</v>
      </c>
      <c r="J85" s="41">
        <v>0.0032126257059334</v>
      </c>
      <c r="K85" s="41">
        <v>0.0032329236348188</v>
      </c>
      <c r="L85" s="41">
        <v>0.0052057816646219</v>
      </c>
      <c r="M85" s="41">
        <v>7.605633271472E-4</v>
      </c>
      <c r="O85" s="41">
        <v>9752.0</v>
      </c>
      <c r="P85" s="41">
        <v>371.308298543997</v>
      </c>
      <c r="Q85" s="41">
        <v>0.0058938403471528</v>
      </c>
      <c r="R85" s="41">
        <v>0.0043785325337458</v>
      </c>
      <c r="S85" s="41">
        <v>0.0071106054107019</v>
      </c>
      <c r="T85" s="41">
        <v>0.0010300913972083</v>
      </c>
    </row>
    <row r="86">
      <c r="A86" s="41">
        <v>6897.0</v>
      </c>
      <c r="B86" s="41">
        <v>228.702312911998</v>
      </c>
      <c r="C86" s="41">
        <v>0.0036088578668296</v>
      </c>
      <c r="D86" s="41">
        <v>0.0026976739826506</v>
      </c>
      <c r="E86" s="41">
        <v>0.0043333062444199</v>
      </c>
      <c r="F86" s="41">
        <v>6.346701189055E-4</v>
      </c>
      <c r="H86" s="41">
        <v>9180.0</v>
      </c>
      <c r="I86" s="41">
        <v>264.502200638002</v>
      </c>
      <c r="J86" s="41">
        <v>0.0031011347424687</v>
      </c>
      <c r="K86" s="41">
        <v>0.0031192932012449</v>
      </c>
      <c r="L86" s="41">
        <v>0.005026881243724</v>
      </c>
      <c r="M86" s="41">
        <v>7.33842760436E-4</v>
      </c>
      <c r="O86" s="41">
        <v>9509.0</v>
      </c>
      <c r="P86" s="41">
        <v>326.820267979997</v>
      </c>
      <c r="Q86" s="41">
        <v>0.0051792500243571</v>
      </c>
      <c r="R86" s="41">
        <v>0.0038540412813804</v>
      </c>
      <c r="S86" s="41">
        <v>0.0062406044369239</v>
      </c>
      <c r="T86" s="41">
        <v>9.067073984333E-4</v>
      </c>
    </row>
    <row r="87">
      <c r="A87" s="41">
        <v>7769.0</v>
      </c>
      <c r="B87" s="41">
        <v>320.244586327</v>
      </c>
      <c r="C87" s="41">
        <v>0.0050648458134809</v>
      </c>
      <c r="D87" s="41">
        <v>0.0037766758064104</v>
      </c>
      <c r="E87" s="41">
        <v>0.006093185707878</v>
      </c>
      <c r="F87" s="41">
        <v>8.884832294277E-4</v>
      </c>
      <c r="H87" s="41">
        <v>10011.0</v>
      </c>
      <c r="I87" s="41">
        <v>336.542670158</v>
      </c>
      <c r="J87" s="41">
        <v>0.0039436446870351</v>
      </c>
      <c r="K87" s="41">
        <v>0.0039693618532541</v>
      </c>
      <c r="L87" s="41">
        <v>0.006389338722578</v>
      </c>
      <c r="M87" s="41">
        <v>9.338215430222E-4</v>
      </c>
      <c r="O87" s="41">
        <v>9803.0</v>
      </c>
      <c r="P87" s="41">
        <v>363.571436848</v>
      </c>
      <c r="Q87" s="41">
        <v>0.005769848898671</v>
      </c>
      <c r="R87" s="41">
        <v>0.0042880303031444</v>
      </c>
      <c r="S87" s="41">
        <v>0.00695899723386</v>
      </c>
      <c r="T87" s="41">
        <v>0.0010088289800555</v>
      </c>
    </row>
    <row r="88">
      <c r="A88" s="41">
        <v>6983.0</v>
      </c>
      <c r="B88" s="41">
        <v>259.125772898998</v>
      </c>
      <c r="C88" s="41">
        <v>0.0040877500878913</v>
      </c>
      <c r="D88" s="41">
        <v>0.0030562844114686</v>
      </c>
      <c r="E88" s="41">
        <v>0.004907556426042</v>
      </c>
      <c r="F88" s="41">
        <v>7.190344742388E-4</v>
      </c>
      <c r="H88" s="41">
        <v>8985.0</v>
      </c>
      <c r="I88" s="41">
        <v>270.881306446</v>
      </c>
      <c r="J88" s="41">
        <v>0.0031751811309225</v>
      </c>
      <c r="K88" s="41">
        <v>0.0031949479192173</v>
      </c>
      <c r="L88" s="41">
        <v>0.00514547217193</v>
      </c>
      <c r="M88" s="41">
        <v>7.516269865694E-4</v>
      </c>
      <c r="O88" s="41">
        <v>8785.0</v>
      </c>
      <c r="P88" s="41">
        <v>283.718517021003</v>
      </c>
      <c r="Q88" s="41">
        <v>0.0044960794079707</v>
      </c>
      <c r="R88" s="41">
        <v>0.0033457140989118</v>
      </c>
      <c r="S88" s="41">
        <v>0.0054173815561239</v>
      </c>
      <c r="T88" s="41">
        <v>7.871204911944E-4</v>
      </c>
    </row>
    <row r="89">
      <c r="A89" s="41">
        <v>7346.0</v>
      </c>
      <c r="B89" s="41">
        <v>310.550939323999</v>
      </c>
      <c r="C89" s="41">
        <v>0.0048563575755952</v>
      </c>
      <c r="D89" s="41">
        <v>0.0036624907902896</v>
      </c>
      <c r="E89" s="41">
        <v>0.0057913982442259</v>
      </c>
      <c r="F89" s="41">
        <v>8.616014899833E-4</v>
      </c>
      <c r="H89" s="41">
        <v>9586.0</v>
      </c>
      <c r="I89" s="41">
        <v>320.963895934997</v>
      </c>
      <c r="J89" s="41">
        <v>0.0037635452284698</v>
      </c>
      <c r="K89" s="41">
        <v>0.0037856084398353</v>
      </c>
      <c r="L89" s="41">
        <v>0.00610062293605</v>
      </c>
      <c r="M89" s="41">
        <v>8.905807130749E-4</v>
      </c>
      <c r="O89" s="41">
        <v>9259.0</v>
      </c>
      <c r="P89" s="41">
        <v>330.263961437001</v>
      </c>
      <c r="Q89" s="41">
        <v>0.005236568979856</v>
      </c>
      <c r="R89" s="41">
        <v>0.0038945405865611</v>
      </c>
      <c r="S89" s="41">
        <v>0.006312358660994</v>
      </c>
      <c r="T89" s="41">
        <v>9.162062593472E-4</v>
      </c>
    </row>
    <row r="90">
      <c r="A90" s="41">
        <v>7376.0</v>
      </c>
      <c r="B90" s="41">
        <v>312.559315459999</v>
      </c>
      <c r="C90" s="41">
        <v>0.0049351196103421</v>
      </c>
      <c r="D90" s="41">
        <v>0.0036864919551616</v>
      </c>
      <c r="E90" s="41">
        <v>0.0059290222432139</v>
      </c>
      <c r="F90" s="41">
        <v>8.672764086388E-4</v>
      </c>
      <c r="H90" s="41">
        <v>8430.0</v>
      </c>
      <c r="I90" s="41">
        <v>242.182807260996</v>
      </c>
      <c r="J90" s="41">
        <v>0.0028356107143403</v>
      </c>
      <c r="K90" s="41">
        <v>0.0028560819020333</v>
      </c>
      <c r="L90" s="41">
        <v>0.00459168978446</v>
      </c>
      <c r="M90" s="41">
        <v>6.719244964361E-4</v>
      </c>
      <c r="O90" s="41">
        <v>9305.0</v>
      </c>
      <c r="P90" s="41">
        <v>348.532362100002</v>
      </c>
      <c r="Q90" s="41">
        <v>0.0055286114803949</v>
      </c>
      <c r="R90" s="41">
        <v>0.0041092851774173</v>
      </c>
      <c r="S90" s="41">
        <v>0.006667439778392</v>
      </c>
      <c r="T90" s="41">
        <v>9.667141241805E-4</v>
      </c>
    </row>
    <row r="91">
      <c r="A91" s="41">
        <v>6954.0</v>
      </c>
      <c r="B91" s="41">
        <v>270.647918891001</v>
      </c>
      <c r="C91" s="41">
        <v>0.0042650838229333</v>
      </c>
      <c r="D91" s="41">
        <v>0.0031917539437285</v>
      </c>
      <c r="E91" s="41">
        <v>0.0051169310379859</v>
      </c>
      <c r="F91" s="41">
        <v>7.508686192722E-4</v>
      </c>
      <c r="H91" s="41">
        <v>9097.0</v>
      </c>
      <c r="I91" s="41">
        <v>287.396422052999</v>
      </c>
      <c r="J91" s="41">
        <v>0.0033629079565849</v>
      </c>
      <c r="K91" s="41">
        <v>0.0033891533607528</v>
      </c>
      <c r="L91" s="41">
        <v>0.0054430987989199</v>
      </c>
      <c r="M91" s="41">
        <v>7.973457116194E-4</v>
      </c>
      <c r="O91" s="41">
        <v>9458.0</v>
      </c>
      <c r="P91" s="41">
        <v>359.043012172998</v>
      </c>
      <c r="Q91" s="41">
        <v>0.0056958205665532</v>
      </c>
      <c r="R91" s="41">
        <v>0.0042346303507992</v>
      </c>
      <c r="S91" s="41">
        <v>0.006867752994198</v>
      </c>
      <c r="T91" s="41">
        <v>9.962280461388E-4</v>
      </c>
    </row>
    <row r="92">
      <c r="A92" s="41">
        <v>6463.0</v>
      </c>
      <c r="B92" s="41">
        <v>222.066798258001</v>
      </c>
      <c r="C92" s="41">
        <v>0.0034961196331975</v>
      </c>
      <c r="D92" s="41">
        <v>0.0026190745926902</v>
      </c>
      <c r="E92" s="41">
        <v>0.004190933074966</v>
      </c>
      <c r="F92" s="41">
        <v>6.161730423472E-4</v>
      </c>
      <c r="H92" s="41">
        <v>8787.0</v>
      </c>
      <c r="I92" s="41">
        <v>268.155744595998</v>
      </c>
      <c r="J92" s="41">
        <v>0.0031445936769909</v>
      </c>
      <c r="K92" s="41">
        <v>0.0031623602511672</v>
      </c>
      <c r="L92" s="41">
        <v>0.005098102134034</v>
      </c>
      <c r="M92" s="41">
        <v>7.439983282527E-4</v>
      </c>
      <c r="O92" s="41">
        <v>8644.0</v>
      </c>
      <c r="P92" s="41">
        <v>287.789635492001</v>
      </c>
      <c r="Q92" s="41">
        <v>0.0045622200703304</v>
      </c>
      <c r="R92" s="41">
        <v>0.0033936086923958</v>
      </c>
      <c r="S92" s="41">
        <v>0.0054987388434319</v>
      </c>
      <c r="T92" s="41">
        <v>7.983593723027E-4</v>
      </c>
    </row>
    <row r="93">
      <c r="A93" s="41">
        <v>6529.0</v>
      </c>
      <c r="B93" s="41">
        <v>223.687575512998</v>
      </c>
      <c r="C93" s="41">
        <v>0.0035198127768526</v>
      </c>
      <c r="D93" s="41">
        <v>0.0026384789292056</v>
      </c>
      <c r="E93" s="41">
        <v>0.004217308651622</v>
      </c>
      <c r="F93" s="41">
        <v>6.207202303139E-4</v>
      </c>
      <c r="H93" s="41">
        <v>8622.0</v>
      </c>
      <c r="I93" s="41">
        <v>254.290239865</v>
      </c>
      <c r="J93" s="41">
        <v>0.0029750797339607</v>
      </c>
      <c r="K93" s="41">
        <v>0.0029989074785333</v>
      </c>
      <c r="L93" s="41">
        <v>0.0048146296850339</v>
      </c>
      <c r="M93" s="41">
        <v>7.055248633833E-4</v>
      </c>
      <c r="O93" s="41">
        <v>8971.0</v>
      </c>
      <c r="P93" s="41">
        <v>312.604397340001</v>
      </c>
      <c r="Q93" s="41">
        <v>0.0049570563595059</v>
      </c>
      <c r="R93" s="41">
        <v>0.0036865577530125</v>
      </c>
      <c r="S93" s="41">
        <v>0.005975516169298</v>
      </c>
      <c r="T93" s="41">
        <v>8.673129916305E-4</v>
      </c>
    </row>
    <row r="94">
      <c r="A94" s="41">
        <v>7024.0</v>
      </c>
      <c r="B94" s="41">
        <v>252.857377693999</v>
      </c>
      <c r="C94" s="41">
        <v>0.0039830944593322</v>
      </c>
      <c r="D94" s="41">
        <v>0.0029818048476916</v>
      </c>
      <c r="E94" s="41">
        <v>0.004777306877398</v>
      </c>
      <c r="F94" s="41">
        <v>7.014623808833E-4</v>
      </c>
      <c r="H94" s="41">
        <v>9124.0</v>
      </c>
      <c r="I94" s="41">
        <v>274.324441965</v>
      </c>
      <c r="J94" s="41">
        <v>0.003209493357706</v>
      </c>
      <c r="K94" s="41">
        <v>0.0032350857755096</v>
      </c>
      <c r="L94" s="41">
        <v>0.0051941249886299</v>
      </c>
      <c r="M94" s="41">
        <v>7.610884662555E-4</v>
      </c>
      <c r="O94" s="41">
        <v>9297.0</v>
      </c>
      <c r="P94" s="41">
        <v>316.617973839001</v>
      </c>
      <c r="Q94" s="41">
        <v>0.0050200803105297</v>
      </c>
      <c r="R94" s="41">
        <v>0.0037338166616006</v>
      </c>
      <c r="S94" s="41">
        <v>0.006051067618628</v>
      </c>
      <c r="T94" s="41">
        <v>8.783731239888E-4</v>
      </c>
    </row>
    <row r="95">
      <c r="A95" s="41">
        <v>7137.0</v>
      </c>
      <c r="B95" s="41">
        <v>268.375445416997</v>
      </c>
      <c r="C95" s="41">
        <v>0.0042371482857963</v>
      </c>
      <c r="D95" s="41">
        <v>0.0031654302268264</v>
      </c>
      <c r="E95" s="41">
        <v>0.0050900957387399</v>
      </c>
      <c r="F95" s="41">
        <v>7.446891777083E-4</v>
      </c>
      <c r="H95" s="41">
        <v>9118.0</v>
      </c>
      <c r="I95" s="41">
        <v>276.477834359</v>
      </c>
      <c r="J95" s="41">
        <v>0.0032384366759172</v>
      </c>
      <c r="K95" s="41">
        <v>0.0032605479627638</v>
      </c>
      <c r="L95" s="41">
        <v>0.0052455794742379</v>
      </c>
      <c r="M95" s="41">
        <v>7.670502185639E-4</v>
      </c>
      <c r="O95" s="41">
        <v>9532.0</v>
      </c>
      <c r="P95" s="41">
        <v>340.243319916997</v>
      </c>
      <c r="Q95" s="41">
        <v>0.0053960682470162</v>
      </c>
      <c r="R95" s="41">
        <v>0.0040124606225084</v>
      </c>
      <c r="S95" s="41">
        <v>0.006505465482146</v>
      </c>
      <c r="T95" s="41">
        <v>9.439751258833E-4</v>
      </c>
    </row>
    <row r="96">
      <c r="A96" s="41">
        <v>7284.0</v>
      </c>
      <c r="B96" s="41">
        <v>275.822365562999</v>
      </c>
      <c r="C96" s="41">
        <v>0.0043487725704437</v>
      </c>
      <c r="D96" s="41">
        <v>0.0032527158621756</v>
      </c>
      <c r="E96" s="41">
        <v>0.0052193719532719</v>
      </c>
      <c r="F96" s="41">
        <v>7.652308015027E-4</v>
      </c>
      <c r="H96" s="41">
        <v>9605.0</v>
      </c>
      <c r="I96" s="41">
        <v>306.138689199997</v>
      </c>
      <c r="J96" s="41">
        <v>0.0035846618152297</v>
      </c>
      <c r="K96" s="41">
        <v>0.0036102655960632</v>
      </c>
      <c r="L96" s="41">
        <v>0.0058049668661919</v>
      </c>
      <c r="M96" s="41">
        <v>8.493517103944E-4</v>
      </c>
      <c r="O96" s="41">
        <v>9628.0</v>
      </c>
      <c r="P96" s="41">
        <v>347.127520844002</v>
      </c>
      <c r="Q96" s="41">
        <v>0.0054981512304422</v>
      </c>
      <c r="R96" s="41">
        <v>0.0040937491089834</v>
      </c>
      <c r="S96" s="41">
        <v>0.0066218933530659</v>
      </c>
      <c r="T96" s="41">
        <v>9.630953650222E-4</v>
      </c>
    </row>
    <row r="97">
      <c r="A97" s="41">
        <v>6813.0</v>
      </c>
      <c r="B97" s="41">
        <v>249.295239881001</v>
      </c>
      <c r="C97" s="41">
        <v>0.0039314924686405</v>
      </c>
      <c r="D97" s="41">
        <v>0.0029396456057499</v>
      </c>
      <c r="E97" s="41">
        <v>0.004719740164678</v>
      </c>
      <c r="F97" s="41">
        <v>6.915794696944E-4</v>
      </c>
      <c r="H97" s="41">
        <v>8613.0</v>
      </c>
      <c r="I97" s="41">
        <v>248.213895291999</v>
      </c>
      <c r="J97" s="41">
        <v>0.0029020549560272</v>
      </c>
      <c r="K97" s="41">
        <v>0.0029273622980729</v>
      </c>
      <c r="L97" s="41">
        <v>0.0046938976440039</v>
      </c>
      <c r="M97" s="41">
        <v>6.886975672305E-4</v>
      </c>
      <c r="O97" s="41">
        <v>8988.0</v>
      </c>
      <c r="P97" s="41">
        <v>308.876762421001</v>
      </c>
      <c r="Q97" s="41">
        <v>0.0048949378400542</v>
      </c>
      <c r="R97" s="41">
        <v>0.0036425329555791</v>
      </c>
      <c r="S97" s="41">
        <v>0.005897995829504</v>
      </c>
      <c r="T97" s="41">
        <v>8.569108846888E-4</v>
      </c>
    </row>
    <row r="98">
      <c r="A98" s="41">
        <v>6798.0</v>
      </c>
      <c r="B98" s="41">
        <v>243.893015992998</v>
      </c>
      <c r="C98" s="41">
        <v>0.0038385822861236</v>
      </c>
      <c r="D98" s="41">
        <v>0.0028761778783541</v>
      </c>
      <c r="E98" s="41">
        <v>0.0046007978473019</v>
      </c>
      <c r="F98" s="41">
        <v>6.766370558666E-4</v>
      </c>
      <c r="H98" s="41">
        <v>8796.0</v>
      </c>
      <c r="I98" s="41">
        <v>258.340252198999</v>
      </c>
      <c r="J98" s="41">
        <v>0.0030229514668213</v>
      </c>
      <c r="K98" s="41">
        <v>0.0030466562490867</v>
      </c>
      <c r="L98" s="41">
        <v>0.0048927072474959</v>
      </c>
      <c r="M98" s="41">
        <v>7.167779695916E-4</v>
      </c>
      <c r="O98" s="41">
        <v>9348.0</v>
      </c>
      <c r="P98" s="41">
        <v>339.444115555998</v>
      </c>
      <c r="Q98" s="41">
        <v>0.0053844657038417</v>
      </c>
      <c r="R98" s="41">
        <v>0.0040032658014362</v>
      </c>
      <c r="S98" s="41">
        <v>0.006492165749284</v>
      </c>
      <c r="T98" s="41">
        <v>9.418244756055E-4</v>
      </c>
    </row>
    <row r="99">
      <c r="A99" s="41">
        <v>6652.0</v>
      </c>
      <c r="B99" s="41">
        <v>228.935819507001</v>
      </c>
      <c r="C99" s="41">
        <v>0.0036079620710691</v>
      </c>
      <c r="D99" s="41">
        <v>0.002699747504077</v>
      </c>
      <c r="E99" s="41">
        <v>0.0043288692964259</v>
      </c>
      <c r="F99" s="41">
        <v>6.351307669944E-4</v>
      </c>
      <c r="H99" s="41">
        <v>9250.0</v>
      </c>
      <c r="I99" s="41">
        <v>294.194632429</v>
      </c>
      <c r="J99" s="41">
        <v>0.0034471778960102</v>
      </c>
      <c r="K99" s="41">
        <v>0.0034695564856339</v>
      </c>
      <c r="L99" s="41">
        <v>0.005585080579172</v>
      </c>
      <c r="M99" s="41">
        <v>8.162655462472E-4</v>
      </c>
      <c r="O99" s="41">
        <v>8982.0</v>
      </c>
      <c r="P99" s="41">
        <v>302.915103116996</v>
      </c>
      <c r="Q99" s="41">
        <v>0.0048040312980324</v>
      </c>
      <c r="R99" s="41">
        <v>0.0035717522744215</v>
      </c>
      <c r="S99" s="41">
        <v>0.005792324356078</v>
      </c>
      <c r="T99" s="41">
        <v>8.402665552833E-4</v>
      </c>
    </row>
    <row r="100">
      <c r="A100" s="41">
        <v>2927.0</v>
      </c>
      <c r="B100" s="41">
        <v>108.695997897997</v>
      </c>
      <c r="C100" s="41">
        <v>0.00171701243193094</v>
      </c>
      <c r="D100" s="41">
        <v>0.00128199447445147</v>
      </c>
      <c r="E100" s="41">
        <v>0.00206355637306598</v>
      </c>
      <c r="F100" s="41">
        <v>3.01591109458351E-4</v>
      </c>
      <c r="H100" s="41">
        <v>3759.0</v>
      </c>
      <c r="I100" s="41">
        <v>113.021825595002</v>
      </c>
      <c r="J100" s="41">
        <v>0.00132443092861376</v>
      </c>
      <c r="K100" s="41">
        <v>0.00133288892763757</v>
      </c>
      <c r="L100" s="41">
        <v>0.00214600393902403</v>
      </c>
      <c r="M100" s="41">
        <v>3.13580021536128E-4</v>
      </c>
      <c r="O100" s="41">
        <v>3897.0</v>
      </c>
      <c r="P100" s="41">
        <v>135.483013163997</v>
      </c>
      <c r="Q100" s="41">
        <v>0.00214699302452945</v>
      </c>
      <c r="R100" s="41">
        <v>0.00159729351637297</v>
      </c>
      <c r="S100" s="41">
        <v>0.00258740512547805</v>
      </c>
      <c r="T100" s="41">
        <v>3.75774069630582E-4</v>
      </c>
    </row>
    <row r="101">
      <c r="A101" s="42">
        <v>672624.0</v>
      </c>
      <c r="B101" s="42">
        <v>24089.82</v>
      </c>
      <c r="C101" s="42">
        <v>0.3806107375</v>
      </c>
      <c r="D101" s="42">
        <v>0.2841089495</v>
      </c>
      <c r="E101" s="42">
        <v>0.457515178</v>
      </c>
      <c r="F101" s="42">
        <v>0.06683908704</v>
      </c>
      <c r="H101" s="42">
        <v>872574.0</v>
      </c>
      <c r="I101" s="42">
        <v>25804.55</v>
      </c>
      <c r="J101" s="42">
        <v>0.3032122906</v>
      </c>
      <c r="K101" s="42">
        <v>0.3043344708</v>
      </c>
      <c r="L101" s="42">
        <v>0.4923078447</v>
      </c>
      <c r="M101" s="42">
        <v>0.07159804841</v>
      </c>
      <c r="O101" s="42">
        <v>906318.0</v>
      </c>
      <c r="P101" s="42">
        <v>33388.65</v>
      </c>
      <c r="Q101" s="42">
        <v>0.5284217504</v>
      </c>
      <c r="R101" s="42">
        <v>0.3937539771</v>
      </c>
      <c r="S101" s="42">
        <v>0.6360441988</v>
      </c>
      <c r="T101" s="42">
        <v>0.09263349715</v>
      </c>
    </row>
  </sheetData>
  <mergeCells count="3">
    <mergeCell ref="A1:F1"/>
    <mergeCell ref="H1:M1"/>
    <mergeCell ref="O1:T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8" max="8" width="16.5"/>
    <col customWidth="1" min="15" max="15" width="15.0"/>
  </cols>
  <sheetData>
    <row r="1">
      <c r="A1" s="40" t="s">
        <v>9</v>
      </c>
      <c r="H1" s="40" t="s">
        <v>8</v>
      </c>
      <c r="O1" s="40" t="s">
        <v>10</v>
      </c>
    </row>
    <row r="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15</v>
      </c>
      <c r="T2" s="20" t="s">
        <v>16</v>
      </c>
    </row>
    <row r="3">
      <c r="A3" s="41">
        <v>5848.0</v>
      </c>
      <c r="B3" s="41">
        <v>244.827136122</v>
      </c>
      <c r="C3" s="41">
        <v>0.0038718430330795</v>
      </c>
      <c r="D3" s="41">
        <v>0.0028877626952611</v>
      </c>
      <c r="E3" s="41">
        <v>0.004657134003482</v>
      </c>
      <c r="F3" s="41">
        <v>6.793659298555E-4</v>
      </c>
      <c r="H3" s="41">
        <v>8404.0</v>
      </c>
      <c r="I3" s="41">
        <v>340.287051975</v>
      </c>
      <c r="J3" s="41">
        <v>0.0040088905327489</v>
      </c>
      <c r="K3" s="41">
        <v>0.004014077568902</v>
      </c>
      <c r="L3" s="41">
        <v>0.0065209527167579</v>
      </c>
      <c r="M3" s="41">
        <v>9.443215844416E-4</v>
      </c>
      <c r="O3" s="41">
        <v>8406.0</v>
      </c>
      <c r="P3" s="41">
        <v>379.846679627</v>
      </c>
      <c r="Q3" s="41">
        <v>0.0044782891886762</v>
      </c>
      <c r="R3" s="41">
        <v>0.004480448025825</v>
      </c>
      <c r="S3" s="41">
        <v>0.007288935831144</v>
      </c>
      <c r="T3" s="41">
        <v>0.0010540786329472</v>
      </c>
    </row>
    <row r="4">
      <c r="A4" s="41">
        <v>7283.0</v>
      </c>
      <c r="B4" s="41">
        <v>374.137207284</v>
      </c>
      <c r="C4" s="41">
        <v>0.0059443622439122</v>
      </c>
      <c r="D4" s="41">
        <v>0.0044132597911013</v>
      </c>
      <c r="E4" s="41">
        <v>0.0071750315733539</v>
      </c>
      <c r="F4" s="41">
        <v>0.0010382525929777</v>
      </c>
      <c r="H4" s="41">
        <v>7628.0</v>
      </c>
      <c r="I4" s="41">
        <v>285.564194442999</v>
      </c>
      <c r="J4" s="41">
        <v>0.0033692872157634</v>
      </c>
      <c r="K4" s="41">
        <v>0.0033682280626652</v>
      </c>
      <c r="L4" s="41">
        <v>0.005487229112002</v>
      </c>
      <c r="M4" s="41">
        <v>7.924075363361E-4</v>
      </c>
      <c r="O4" s="41">
        <v>8355.0</v>
      </c>
      <c r="P4" s="41">
        <v>370.869084679</v>
      </c>
      <c r="Q4" s="41">
        <v>0.0043828504016305</v>
      </c>
      <c r="R4" s="41">
        <v>0.0043746210565166</v>
      </c>
      <c r="S4" s="41">
        <v>0.0071463857171039</v>
      </c>
      <c r="T4" s="41">
        <v>0.0010291692771666</v>
      </c>
    </row>
    <row r="5">
      <c r="A5" s="41">
        <v>6841.0</v>
      </c>
      <c r="B5" s="41">
        <v>332.751885849</v>
      </c>
      <c r="C5" s="41">
        <v>0.0052839716390345</v>
      </c>
      <c r="D5" s="41">
        <v>0.0039243507115236</v>
      </c>
      <c r="E5" s="41">
        <v>0.00637619815651</v>
      </c>
      <c r="F5" s="41">
        <v>9.232456169722E-4</v>
      </c>
      <c r="H5" s="41">
        <v>7996.0</v>
      </c>
      <c r="I5" s="41">
        <v>309.511143239999</v>
      </c>
      <c r="J5" s="41">
        <v>0.0036528586126985</v>
      </c>
      <c r="K5" s="41">
        <v>0.003651058534027</v>
      </c>
      <c r="L5" s="41">
        <v>0.005949846704318</v>
      </c>
      <c r="M5" s="41">
        <v>8.5895865775E-4</v>
      </c>
      <c r="O5" s="41">
        <v>8909.0</v>
      </c>
      <c r="P5" s="41">
        <v>415.22486875</v>
      </c>
      <c r="Q5" s="41">
        <v>0.0049069186104495</v>
      </c>
      <c r="R5" s="41">
        <v>0.0048979815102368</v>
      </c>
      <c r="S5" s="41">
        <v>0.008000540567094</v>
      </c>
      <c r="T5" s="41">
        <v>0.0011523094101222</v>
      </c>
    </row>
    <row r="6">
      <c r="A6" s="41">
        <v>7823.0</v>
      </c>
      <c r="B6" s="41">
        <v>398.141210141</v>
      </c>
      <c r="C6" s="41">
        <v>0.0063295662324396</v>
      </c>
      <c r="D6" s="41">
        <v>0.0046963462350638</v>
      </c>
      <c r="E6" s="41">
        <v>0.0076435619481779</v>
      </c>
      <c r="F6" s="41">
        <v>0.0011048556090777</v>
      </c>
      <c r="H6" s="41">
        <v>8208.0</v>
      </c>
      <c r="I6" s="41">
        <v>305.163233744</v>
      </c>
      <c r="J6" s="41">
        <v>0.003601356154162</v>
      </c>
      <c r="K6" s="41">
        <v>0.0035994974134215</v>
      </c>
      <c r="L6" s="41">
        <v>0.0058660724706319</v>
      </c>
      <c r="M6" s="41">
        <v>8.46818086E-4</v>
      </c>
      <c r="O6" s="41">
        <v>10613.0</v>
      </c>
      <c r="P6" s="41">
        <v>533.547811441</v>
      </c>
      <c r="Q6" s="41">
        <v>0.0063090731047458</v>
      </c>
      <c r="R6" s="41">
        <v>0.0062933922303152</v>
      </c>
      <c r="S6" s="41">
        <v>0.0102919051779619</v>
      </c>
      <c r="T6" s="41">
        <v>0.0014805663392944</v>
      </c>
    </row>
    <row r="7">
      <c r="A7" s="41">
        <v>5881.0</v>
      </c>
      <c r="B7" s="41">
        <v>258.285123737</v>
      </c>
      <c r="C7" s="41">
        <v>0.0040946526152648</v>
      </c>
      <c r="D7" s="41">
        <v>0.0030463585647312</v>
      </c>
      <c r="E7" s="41">
        <v>0.0049345525587499</v>
      </c>
      <c r="F7" s="41">
        <v>7.166259907833E-4</v>
      </c>
      <c r="H7" s="41">
        <v>7109.0</v>
      </c>
      <c r="I7" s="41">
        <v>259.66994899</v>
      </c>
      <c r="J7" s="41">
        <v>0.0030640467946839</v>
      </c>
      <c r="K7" s="41">
        <v>0.0030625320264548</v>
      </c>
      <c r="L7" s="41">
        <v>0.0049908253815459</v>
      </c>
      <c r="M7" s="41">
        <v>7.2045944115E-4</v>
      </c>
      <c r="O7" s="41">
        <v>8373.0</v>
      </c>
      <c r="P7" s="41">
        <v>386.690634879999</v>
      </c>
      <c r="Q7" s="41">
        <v>0.0045693557223877</v>
      </c>
      <c r="R7" s="41">
        <v>0.0045611631523201</v>
      </c>
      <c r="S7" s="41">
        <v>0.0074499631821879</v>
      </c>
      <c r="T7" s="41">
        <v>0.0010731027629083</v>
      </c>
    </row>
    <row r="8">
      <c r="A8" s="41">
        <v>6029.0</v>
      </c>
      <c r="B8" s="41">
        <v>268.840020893999</v>
      </c>
      <c r="C8" s="41">
        <v>0.0042650055859519</v>
      </c>
      <c r="D8" s="41">
        <v>0.0031711584042979</v>
      </c>
      <c r="E8" s="41">
        <v>0.0051421566137219</v>
      </c>
      <c r="F8" s="41">
        <v>7.460723981611E-4</v>
      </c>
      <c r="H8" s="41">
        <v>7345.0</v>
      </c>
      <c r="I8" s="41">
        <v>277.794446338999</v>
      </c>
      <c r="J8" s="41">
        <v>0.0032761261137875</v>
      </c>
      <c r="K8" s="41">
        <v>0.0032762235927687</v>
      </c>
      <c r="L8" s="41">
        <v>0.005334119822848</v>
      </c>
      <c r="M8" s="41">
        <v>7.707569471333E-4</v>
      </c>
      <c r="O8" s="41">
        <v>7717.0</v>
      </c>
      <c r="P8" s="41">
        <v>327.990140402</v>
      </c>
      <c r="Q8" s="41">
        <v>0.0038751050739395</v>
      </c>
      <c r="R8" s="41">
        <v>0.0038688655278097</v>
      </c>
      <c r="S8" s="41">
        <v>0.006317171998178</v>
      </c>
      <c r="T8" s="41">
        <v>9.102232259527E-4</v>
      </c>
    </row>
    <row r="9">
      <c r="A9" s="41">
        <v>7104.0</v>
      </c>
      <c r="B9" s="41">
        <v>352.052853241999</v>
      </c>
      <c r="C9" s="41">
        <v>0.0055908025681796</v>
      </c>
      <c r="D9" s="41">
        <v>0.0041521655294201</v>
      </c>
      <c r="E9" s="41">
        <v>0.0067465406750059</v>
      </c>
      <c r="F9" s="41">
        <v>9.768342636444E-4</v>
      </c>
      <c r="H9" s="41">
        <v>7726.0</v>
      </c>
      <c r="I9" s="41">
        <v>293.517342322999</v>
      </c>
      <c r="J9" s="41">
        <v>0.0034609259168006</v>
      </c>
      <c r="K9" s="41">
        <v>0.0034620670425472</v>
      </c>
      <c r="L9" s="41">
        <v>0.0056337283958679</v>
      </c>
      <c r="M9" s="41">
        <v>8.144742660722E-4</v>
      </c>
      <c r="O9" s="41">
        <v>7877.0</v>
      </c>
      <c r="P9" s="41">
        <v>327.295497500999</v>
      </c>
      <c r="Q9" s="41">
        <v>0.0038667590901629</v>
      </c>
      <c r="R9" s="41">
        <v>0.0038603660933666</v>
      </c>
      <c r="S9" s="41">
        <v>0.006303788098582</v>
      </c>
      <c r="T9" s="41">
        <v>9.082080564805E-4</v>
      </c>
    </row>
    <row r="10">
      <c r="A10" s="41">
        <v>5577.0</v>
      </c>
      <c r="B10" s="41">
        <v>219.32097949</v>
      </c>
      <c r="C10" s="41">
        <v>0.0034746583136584</v>
      </c>
      <c r="D10" s="41">
        <v>0.0025866211204326</v>
      </c>
      <c r="E10" s="41">
        <v>0.0041854452927979</v>
      </c>
      <c r="F10" s="41">
        <v>6.085278598388E-4</v>
      </c>
      <c r="H10" s="41">
        <v>7828.0</v>
      </c>
      <c r="I10" s="41">
        <v>306.384949498</v>
      </c>
      <c r="J10" s="41">
        <v>0.0036129306464452</v>
      </c>
      <c r="K10" s="41">
        <v>0.0036133685965833</v>
      </c>
      <c r="L10" s="41">
        <v>0.005882099983454</v>
      </c>
      <c r="M10" s="41">
        <v>8.500626421333E-4</v>
      </c>
      <c r="O10" s="41">
        <v>8224.0</v>
      </c>
      <c r="P10" s="41">
        <v>360.928885628</v>
      </c>
      <c r="Q10" s="41">
        <v>0.0042636396232007</v>
      </c>
      <c r="R10" s="41">
        <v>0.0042568288156965</v>
      </c>
      <c r="S10" s="41">
        <v>0.006950518338188</v>
      </c>
      <c r="T10" s="41">
        <v>0.0010014719900166</v>
      </c>
    </row>
    <row r="11">
      <c r="A11" s="41">
        <v>5282.0</v>
      </c>
      <c r="B11" s="41">
        <v>218.455250931999</v>
      </c>
      <c r="C11" s="43">
        <v>2.89237151793128E-5</v>
      </c>
      <c r="D11" s="41">
        <v>0.0025768233099743</v>
      </c>
      <c r="E11" s="41">
        <v>0.0041629344414559</v>
      </c>
      <c r="F11" s="41">
        <v>6.062181597916E-4</v>
      </c>
      <c r="H11" s="41">
        <v>6961.0</v>
      </c>
      <c r="I11" s="41">
        <v>264.486169131999</v>
      </c>
      <c r="J11" s="41">
        <v>0.00311769003176</v>
      </c>
      <c r="K11" s="41">
        <v>0.0031194506864118</v>
      </c>
      <c r="L11" s="41">
        <v>0.0050740729481439</v>
      </c>
      <c r="M11" s="41">
        <v>7.338992032888E-4</v>
      </c>
      <c r="O11" s="41">
        <v>7360.0</v>
      </c>
      <c r="P11" s="41">
        <v>312.994393882</v>
      </c>
      <c r="Q11" s="41">
        <v>0.0036982291490562</v>
      </c>
      <c r="R11" s="41">
        <v>0.0036918631048194</v>
      </c>
      <c r="S11" s="41">
        <v>0.0060293784346099</v>
      </c>
      <c r="T11" s="41">
        <v>8.685396859444E-4</v>
      </c>
    </row>
    <row r="12">
      <c r="A12" s="41">
        <v>6035.0</v>
      </c>
      <c r="B12" s="41">
        <v>278.762430209999</v>
      </c>
      <c r="C12" s="41">
        <v>0.0044235507963205</v>
      </c>
      <c r="D12" s="41">
        <v>0.0032875003914215</v>
      </c>
      <c r="E12" s="41">
        <v>0.005335267045988</v>
      </c>
      <c r="F12" s="41">
        <v>7.733891704555E-4</v>
      </c>
      <c r="H12" s="41">
        <v>7745.0</v>
      </c>
      <c r="I12" s="41">
        <v>310.119196078</v>
      </c>
      <c r="J12" s="41">
        <v>0.0036615892946532</v>
      </c>
      <c r="K12" s="41">
        <v>0.0036577917552409</v>
      </c>
      <c r="L12" s="41">
        <v>0.005966514217652</v>
      </c>
      <c r="M12" s="41">
        <v>8.605579997583E-4</v>
      </c>
      <c r="O12" s="41">
        <v>8610.0</v>
      </c>
      <c r="P12" s="41">
        <v>412.429601146999</v>
      </c>
      <c r="Q12" s="41">
        <v>0.0048743975054765</v>
      </c>
      <c r="R12" s="41">
        <v>0.004864621357984</v>
      </c>
      <c r="S12" s="41">
        <v>0.007948629136676</v>
      </c>
      <c r="T12" s="41">
        <v>0.0011444576699833</v>
      </c>
    </row>
    <row r="13">
      <c r="A13" s="41">
        <v>6005.0</v>
      </c>
      <c r="B13" s="41">
        <v>265.077952463</v>
      </c>
      <c r="C13" s="41">
        <v>0.0042037384030738</v>
      </c>
      <c r="D13" s="41">
        <v>0.0031265358605382</v>
      </c>
      <c r="E13" s="41">
        <v>0.00506715822039</v>
      </c>
      <c r="F13" s="41">
        <v>7.35554432875E-4</v>
      </c>
      <c r="H13" s="41">
        <v>8196.0</v>
      </c>
      <c r="I13" s="41">
        <v>328.288690312</v>
      </c>
      <c r="J13" s="41">
        <v>0.0038753716184065</v>
      </c>
      <c r="K13" s="41">
        <v>0.0038720694699027</v>
      </c>
      <c r="L13" s="41">
        <v>0.0063140208845459</v>
      </c>
      <c r="M13" s="41">
        <v>9.109336405138E-4</v>
      </c>
      <c r="O13" s="41">
        <v>9169.0</v>
      </c>
      <c r="P13" s="41">
        <v>440.304079581</v>
      </c>
      <c r="Q13" s="41">
        <v>0.0052042415241123</v>
      </c>
      <c r="R13" s="41">
        <v>0.0051932381687742</v>
      </c>
      <c r="S13" s="41">
        <v>0.008487188178634</v>
      </c>
      <c r="T13" s="41">
        <v>0.0012217814290944</v>
      </c>
    </row>
    <row r="14">
      <c r="A14" s="41">
        <v>7655.0</v>
      </c>
      <c r="B14" s="41">
        <v>426.969799547</v>
      </c>
      <c r="C14" s="41">
        <v>0.006787634377286</v>
      </c>
      <c r="D14" s="41">
        <v>0.0050359957468548</v>
      </c>
      <c r="E14" s="41">
        <v>0.0081970110020479</v>
      </c>
      <c r="F14" s="41">
        <v>0.0011847491541055</v>
      </c>
      <c r="H14" s="41">
        <v>7775.0</v>
      </c>
      <c r="I14" s="41">
        <v>312.029587155</v>
      </c>
      <c r="J14" s="41">
        <v>0.003684104743406</v>
      </c>
      <c r="K14" s="41">
        <v>0.0036800877023763</v>
      </c>
      <c r="L14" s="41">
        <v>0.0060034759138879</v>
      </c>
      <c r="M14" s="41">
        <v>8.657727475972E-4</v>
      </c>
      <c r="O14" s="41">
        <v>7749.0</v>
      </c>
      <c r="P14" s="41">
        <v>339.758116297</v>
      </c>
      <c r="Q14" s="41">
        <v>0.0040147128955224</v>
      </c>
      <c r="R14" s="41">
        <v>0.0040070533456076</v>
      </c>
      <c r="S14" s="41">
        <v>0.0065462666258979</v>
      </c>
      <c r="T14" s="41">
        <v>9.427040801999E-4</v>
      </c>
    </row>
    <row r="15">
      <c r="A15" s="41">
        <v>6506.0</v>
      </c>
      <c r="B15" s="41">
        <v>280.17985626</v>
      </c>
      <c r="C15" s="41">
        <v>0.0044471366816487</v>
      </c>
      <c r="D15" s="41">
        <v>0.0033044106008687</v>
      </c>
      <c r="E15" s="41">
        <v>0.0053644342915439</v>
      </c>
      <c r="F15" s="41">
        <v>7.774109869388E-4</v>
      </c>
      <c r="H15" s="41">
        <v>7669.0</v>
      </c>
      <c r="I15" s="41">
        <v>267.700521687999</v>
      </c>
      <c r="J15" s="41">
        <v>0.0031602712924853</v>
      </c>
      <c r="K15" s="41">
        <v>0.0031576939002833</v>
      </c>
      <c r="L15" s="41">
        <v>0.005148789952362</v>
      </c>
      <c r="M15" s="41">
        <v>7.42869297575E-4</v>
      </c>
      <c r="O15" s="41">
        <v>8587.0</v>
      </c>
      <c r="P15" s="41">
        <v>361.92647588</v>
      </c>
      <c r="Q15" s="41">
        <v>0.0042764013617442</v>
      </c>
      <c r="R15" s="41">
        <v>0.0042684515569944</v>
      </c>
      <c r="S15" s="41">
        <v>0.006972714189278</v>
      </c>
      <c r="T15" s="41">
        <v>0.0010041962979694</v>
      </c>
    </row>
    <row r="16">
      <c r="A16" s="41">
        <v>5695.0</v>
      </c>
      <c r="B16" s="41">
        <v>231.336324961</v>
      </c>
      <c r="C16" s="41">
        <v>0.0036680215977527</v>
      </c>
      <c r="D16" s="41">
        <v>0.0027281731798402</v>
      </c>
      <c r="E16" s="41">
        <v>0.004421312148158</v>
      </c>
      <c r="F16" s="41">
        <v>6.418359341388E-4</v>
      </c>
      <c r="H16" s="41">
        <v>8037.0</v>
      </c>
      <c r="I16" s="41">
        <v>313.522917199999</v>
      </c>
      <c r="J16" s="41">
        <v>0.0037025765276665</v>
      </c>
      <c r="K16" s="41">
        <v>0.0036980552324666</v>
      </c>
      <c r="L16" s="41">
        <v>0.0060341653828839</v>
      </c>
      <c r="M16" s="41">
        <v>8.700092135388E-4</v>
      </c>
      <c r="O16" s="41">
        <v>8694.0</v>
      </c>
      <c r="P16" s="41">
        <v>398.471798081</v>
      </c>
      <c r="Q16" s="41">
        <v>0.0047101937598152</v>
      </c>
      <c r="R16" s="41">
        <v>0.0047002472939493</v>
      </c>
      <c r="S16" s="41">
        <v>0.007681461422942</v>
      </c>
      <c r="T16" s="41">
        <v>0.0011058063707805</v>
      </c>
    </row>
    <row r="17">
      <c r="A17" s="41">
        <v>6304.0</v>
      </c>
      <c r="B17" s="41">
        <v>275.678036774</v>
      </c>
      <c r="C17" s="41">
        <v>0.0043738495969721</v>
      </c>
      <c r="D17" s="41">
        <v>0.0032515187245131</v>
      </c>
      <c r="E17" s="41">
        <v>0.0052741300526339</v>
      </c>
      <c r="F17" s="41">
        <v>7.649364754472E-4</v>
      </c>
      <c r="H17" s="41">
        <v>8455.0</v>
      </c>
      <c r="I17" s="41">
        <v>332.216539053999</v>
      </c>
      <c r="J17" s="41">
        <v>0.0039236317207251</v>
      </c>
      <c r="K17" s="41">
        <v>0.0039179975086048</v>
      </c>
      <c r="L17" s="41">
        <v>0.006395460394142</v>
      </c>
      <c r="M17" s="41">
        <v>9.217576170972E-4</v>
      </c>
      <c r="O17" s="41">
        <v>9124.0</v>
      </c>
      <c r="P17" s="41">
        <v>420.253478336999</v>
      </c>
      <c r="Q17" s="41">
        <v>0.0049678100668756</v>
      </c>
      <c r="R17" s="41">
        <v>0.0049565492794659</v>
      </c>
      <c r="S17" s="41">
        <v>0.008102550093146</v>
      </c>
      <c r="T17" s="41">
        <v>0.0011660931876833</v>
      </c>
    </row>
    <row r="18">
      <c r="A18" s="41">
        <v>7030.0</v>
      </c>
      <c r="B18" s="41">
        <v>330.308526125</v>
      </c>
      <c r="C18" s="41">
        <v>0.0052471512328006</v>
      </c>
      <c r="D18" s="41">
        <v>0.003895840375843</v>
      </c>
      <c r="E18" s="41">
        <v>0.006333195066552</v>
      </c>
      <c r="F18" s="41">
        <v>9.165480489388E-4</v>
      </c>
      <c r="H18" s="41">
        <v>8056.0</v>
      </c>
      <c r="I18" s="41">
        <v>301.738959889999</v>
      </c>
      <c r="J18" s="41">
        <v>0.0035606912752211</v>
      </c>
      <c r="K18" s="41">
        <v>0.0035584867628562</v>
      </c>
      <c r="L18" s="41">
        <v>0.005800286029114</v>
      </c>
      <c r="M18" s="41">
        <v>8.371723741944E-4</v>
      </c>
      <c r="O18" s="41">
        <v>9198.0</v>
      </c>
      <c r="P18" s="41">
        <v>429.016461129</v>
      </c>
      <c r="Q18" s="41">
        <v>0.0050705170645278</v>
      </c>
      <c r="R18" s="41">
        <v>0.0050597710569757</v>
      </c>
      <c r="S18" s="41">
        <v>0.00826915661532</v>
      </c>
      <c r="T18" s="41">
        <v>0.0011903636557111</v>
      </c>
    </row>
    <row r="19">
      <c r="A19" s="41">
        <v>5578.0</v>
      </c>
      <c r="B19" s="41">
        <v>226.530543027</v>
      </c>
      <c r="C19" s="41">
        <v>0.0035887784696324</v>
      </c>
      <c r="D19" s="41">
        <v>0.0026713706362701</v>
      </c>
      <c r="E19" s="41">
        <v>0.0043231631807499</v>
      </c>
      <c r="F19" s="41">
        <v>6.284654621222E-4</v>
      </c>
      <c r="H19" s="41">
        <v>7608.0</v>
      </c>
      <c r="I19" s="41">
        <v>292.552559218</v>
      </c>
      <c r="J19" s="41">
        <v>0.0034508201222423</v>
      </c>
      <c r="K19" s="41">
        <v>0.0034503203932194</v>
      </c>
      <c r="L19" s="41">
        <v>0.005619304217662</v>
      </c>
      <c r="M19" s="41">
        <v>8.117074185277E-4</v>
      </c>
      <c r="O19" s="41">
        <v>8379.0</v>
      </c>
      <c r="P19" s="41">
        <v>379.121586629999</v>
      </c>
      <c r="Q19" s="41">
        <v>0.0044802023152623</v>
      </c>
      <c r="R19" s="41">
        <v>0.004471421711043</v>
      </c>
      <c r="S19" s="41">
        <v>0.0073055333444219</v>
      </c>
      <c r="T19" s="41">
        <v>0.0010519856217638</v>
      </c>
    </row>
    <row r="20">
      <c r="A20" s="41">
        <v>6128.0</v>
      </c>
      <c r="B20" s="41">
        <v>278.809215543999</v>
      </c>
      <c r="C20" s="41">
        <v>0.0044205840541797</v>
      </c>
      <c r="D20" s="41">
        <v>0.0032885655789326</v>
      </c>
      <c r="E20" s="41">
        <v>0.0053276103731959</v>
      </c>
      <c r="F20" s="41">
        <v>7.736789368111E-4</v>
      </c>
      <c r="H20" s="41">
        <v>7392.0</v>
      </c>
      <c r="I20" s="41">
        <v>276.356244751</v>
      </c>
      <c r="J20" s="41">
        <v>0.0032599723097824</v>
      </c>
      <c r="K20" s="41">
        <v>0.0032593865871159</v>
      </c>
      <c r="L20" s="41">
        <v>0.005308658135812</v>
      </c>
      <c r="M20" s="41">
        <v>7.667996498666E-4</v>
      </c>
      <c r="O20" s="41">
        <v>8059.0</v>
      </c>
      <c r="P20" s="41">
        <v>353.732500559</v>
      </c>
      <c r="Q20" s="41">
        <v>0.0041796236075466</v>
      </c>
      <c r="R20" s="41">
        <v>0.0041722871041757</v>
      </c>
      <c r="S20" s="41">
        <v>0.006814349340364</v>
      </c>
      <c r="T20" s="41">
        <v>9.816050635944E-4</v>
      </c>
    </row>
    <row r="21">
      <c r="A21" s="41">
        <v>7441.0</v>
      </c>
      <c r="B21" s="41">
        <v>373.957617047999</v>
      </c>
      <c r="C21" s="41">
        <v>0.005939091965621</v>
      </c>
      <c r="D21" s="41">
        <v>0.004410653472309</v>
      </c>
      <c r="E21" s="41">
        <v>0.0071670732336539</v>
      </c>
      <c r="F21" s="41">
        <v>0.0010376225433111</v>
      </c>
      <c r="H21" s="41">
        <v>7908.0</v>
      </c>
      <c r="I21" s="41">
        <v>299.584930434999</v>
      </c>
      <c r="J21" s="41">
        <v>0.0035298674286527</v>
      </c>
      <c r="K21" s="41">
        <v>0.0035336370795575</v>
      </c>
      <c r="L21" s="41">
        <v>0.0057427482053059</v>
      </c>
      <c r="M21" s="41">
        <v>8.312966129833E-4</v>
      </c>
      <c r="O21" s="41">
        <v>7551.0</v>
      </c>
      <c r="P21" s="41">
        <v>366.94350148</v>
      </c>
      <c r="Q21" s="41">
        <v>0.0043346473564734</v>
      </c>
      <c r="R21" s="41">
        <v>0.004327857823693</v>
      </c>
      <c r="S21" s="41">
        <v>0.0070661381529059</v>
      </c>
      <c r="T21" s="41">
        <v>0.0010181519309777</v>
      </c>
    </row>
    <row r="22">
      <c r="A22" s="41">
        <v>7752.0</v>
      </c>
      <c r="B22" s="41">
        <v>418.664324421</v>
      </c>
      <c r="C22" s="41">
        <v>0.0066535104417796</v>
      </c>
      <c r="D22" s="41">
        <v>0.0049374688284972</v>
      </c>
      <c r="E22" s="41">
        <v>0.008033813649268</v>
      </c>
      <c r="F22" s="41">
        <v>0.0011615779733972</v>
      </c>
      <c r="H22" s="41">
        <v>7967.0</v>
      </c>
      <c r="I22" s="41">
        <v>320.676824061999</v>
      </c>
      <c r="J22" s="41">
        <v>0.0037810057060625</v>
      </c>
      <c r="K22" s="41">
        <v>0.0037822217436458</v>
      </c>
      <c r="L22" s="41">
        <v>0.006154792146052</v>
      </c>
      <c r="M22" s="41">
        <v>8.897958144305E-4</v>
      </c>
      <c r="O22" s="41">
        <v>8183.0</v>
      </c>
      <c r="P22" s="41">
        <v>363.877940476</v>
      </c>
      <c r="Q22" s="41">
        <v>0.0043006054103773</v>
      </c>
      <c r="R22" s="41">
        <v>0.0042915825638805</v>
      </c>
      <c r="S22" s="41">
        <v>0.0070134467218639</v>
      </c>
      <c r="T22" s="41">
        <v>0.0010096404107444</v>
      </c>
    </row>
    <row r="23">
      <c r="A23" s="41">
        <v>6242.0</v>
      </c>
      <c r="B23" s="41">
        <v>285.51969543</v>
      </c>
      <c r="C23" s="41">
        <v>0.0045306441906854</v>
      </c>
      <c r="D23" s="41">
        <v>0.0033677083281701</v>
      </c>
      <c r="E23" s="41">
        <v>0.0054636390931299</v>
      </c>
      <c r="F23" s="41">
        <v>7.922885015888E-4</v>
      </c>
      <c r="H23" s="41">
        <v>7556.0</v>
      </c>
      <c r="I23" s="41">
        <v>294.713447222</v>
      </c>
      <c r="J23" s="41">
        <v>0.0034736994693671</v>
      </c>
      <c r="K23" s="41">
        <v>0.003475857149675</v>
      </c>
      <c r="L23" s="41">
        <v>0.0056532728559479</v>
      </c>
      <c r="M23" s="41">
        <v>8.177164283472E-4</v>
      </c>
      <c r="O23" s="41">
        <v>7662.0</v>
      </c>
      <c r="P23" s="41">
        <v>322.909062550999</v>
      </c>
      <c r="Q23" s="41">
        <v>0.0038154921569562</v>
      </c>
      <c r="R23" s="41">
        <v>0.0038088186143993</v>
      </c>
      <c r="S23" s="41">
        <v>0.00622067442098</v>
      </c>
      <c r="T23" s="41">
        <v>8.960677075527E-4</v>
      </c>
    </row>
    <row r="24">
      <c r="A24" s="41">
        <v>5453.0</v>
      </c>
      <c r="B24" s="41">
        <v>217.412662176</v>
      </c>
      <c r="C24" s="41">
        <v>0.0034461934424655</v>
      </c>
      <c r="D24" s="41">
        <v>0.0025633302121958</v>
      </c>
      <c r="E24" s="41">
        <v>0.0041537736007939</v>
      </c>
      <c r="F24" s="41">
        <v>6.030276328472E-4</v>
      </c>
      <c r="H24" s="41">
        <v>7270.0</v>
      </c>
      <c r="I24" s="41">
        <v>277.165775505</v>
      </c>
      <c r="J24" s="41">
        <v>0.0032652827911275</v>
      </c>
      <c r="K24" s="41">
        <v>0.0032690057285895</v>
      </c>
      <c r="L24" s="41">
        <v>0.0053120156384979</v>
      </c>
      <c r="M24" s="41">
        <v>7.690294283972E-4</v>
      </c>
      <c r="O24" s="41">
        <v>7630.0</v>
      </c>
      <c r="P24" s="41">
        <v>327.169939836001</v>
      </c>
      <c r="Q24" s="41">
        <v>0.0038638280119161</v>
      </c>
      <c r="R24" s="41">
        <v>0.0038589330538346</v>
      </c>
      <c r="S24" s="41">
        <v>0.0062971817044079</v>
      </c>
      <c r="T24" s="41">
        <v>9.078544252527E-4</v>
      </c>
    </row>
    <row r="25">
      <c r="A25" s="41">
        <v>6750.0</v>
      </c>
      <c r="B25" s="41">
        <v>317.409625398</v>
      </c>
      <c r="C25" s="41">
        <v>0.0050385679536072</v>
      </c>
      <c r="D25" s="41">
        <v>0.0037437494839222</v>
      </c>
      <c r="E25" s="41">
        <v>0.006078034862424</v>
      </c>
      <c r="F25" s="41">
        <v>8.807430465444E-4</v>
      </c>
      <c r="H25" s="41">
        <v>7720.0</v>
      </c>
      <c r="I25" s="41">
        <v>296.297317499</v>
      </c>
      <c r="J25" s="41">
        <v>0.0034909638071018</v>
      </c>
      <c r="K25" s="41">
        <v>0.0034944994256201</v>
      </c>
      <c r="L25" s="41">
        <v>0.0056796728770679</v>
      </c>
      <c r="M25" s="41">
        <v>8.221101051611E-4</v>
      </c>
      <c r="O25" s="41">
        <v>8398.0</v>
      </c>
      <c r="P25" s="41">
        <v>371.546727895</v>
      </c>
      <c r="Q25" s="41">
        <v>0.0043910979715855</v>
      </c>
      <c r="R25" s="41">
        <v>0.0043822791013062</v>
      </c>
      <c r="S25" s="41">
        <v>0.0071605071172899</v>
      </c>
      <c r="T25" s="41">
        <v>0.0010310065303305</v>
      </c>
    </row>
    <row r="26">
      <c r="A26" s="41">
        <v>6737.0</v>
      </c>
      <c r="B26" s="41">
        <v>310.813976374999</v>
      </c>
      <c r="C26" s="41">
        <v>0.0049343783546936</v>
      </c>
      <c r="D26" s="41">
        <v>0.0036659126097069</v>
      </c>
      <c r="E26" s="41">
        <v>0.005952854484502</v>
      </c>
      <c r="F26" s="41">
        <v>8.624489962055E-4</v>
      </c>
      <c r="H26" s="41">
        <v>8335.0</v>
      </c>
      <c r="I26" s="41">
        <v>332.969219104999</v>
      </c>
      <c r="J26" s="41">
        <v>0.0039255776391566</v>
      </c>
      <c r="K26" s="41">
        <v>0.0039271399577888</v>
      </c>
      <c r="L26" s="41">
        <v>0.00638979122294</v>
      </c>
      <c r="M26" s="41">
        <v>9.238564250083E-4</v>
      </c>
      <c r="O26" s="41">
        <v>8473.0</v>
      </c>
      <c r="P26" s="41">
        <v>371.669304823</v>
      </c>
      <c r="Q26" s="41">
        <v>0.0043920243689603</v>
      </c>
      <c r="R26" s="41">
        <v>0.0043834077203389</v>
      </c>
      <c r="S26" s="41">
        <v>0.00716179045165</v>
      </c>
      <c r="T26" s="41">
        <v>0.0010312472912861</v>
      </c>
    </row>
    <row r="27">
      <c r="A27" s="41">
        <v>5796.0</v>
      </c>
      <c r="B27" s="41">
        <v>226.597877554</v>
      </c>
      <c r="C27" s="41">
        <v>0.00359042667361</v>
      </c>
      <c r="D27" s="41">
        <v>0.0026725435584597</v>
      </c>
      <c r="E27" s="41">
        <v>0.0043252167935039</v>
      </c>
      <c r="F27" s="41">
        <v>6.287399116611E-4</v>
      </c>
      <c r="H27" s="41">
        <v>7445.0</v>
      </c>
      <c r="I27" s="41">
        <v>268.796946655</v>
      </c>
      <c r="J27" s="41">
        <v>0.0031659536584699</v>
      </c>
      <c r="K27" s="41">
        <v>0.0031700797855472</v>
      </c>
      <c r="L27" s="41">
        <v>0.0051497427309019</v>
      </c>
      <c r="M27" s="41">
        <v>7.458019382777E-4</v>
      </c>
      <c r="O27" s="41">
        <v>8220.0</v>
      </c>
      <c r="P27" s="41">
        <v>350.392736088</v>
      </c>
      <c r="Q27" s="41">
        <v>0.0041399781164464</v>
      </c>
      <c r="R27" s="41">
        <v>0.0041321818192222</v>
      </c>
      <c r="S27" s="41">
        <v>0.0067504067892099</v>
      </c>
      <c r="T27" s="41">
        <v>9.721290858972E-4</v>
      </c>
    </row>
    <row r="28">
      <c r="A28" s="41">
        <v>5775.0</v>
      </c>
      <c r="B28" s="41">
        <v>253.891976118</v>
      </c>
      <c r="C28" s="41">
        <v>0.004026656497899</v>
      </c>
      <c r="D28" s="41">
        <v>0.0029945859700166</v>
      </c>
      <c r="E28" s="41">
        <v>0.00485398721652</v>
      </c>
      <c r="F28" s="41">
        <v>7.045319551083E-4</v>
      </c>
      <c r="H28" s="41">
        <v>8066.0</v>
      </c>
      <c r="I28" s="41">
        <v>341.708773814</v>
      </c>
      <c r="J28" s="41">
        <v>0.0040280852450995</v>
      </c>
      <c r="K28" s="41">
        <v>0.0040302740692027</v>
      </c>
      <c r="L28" s="41">
        <v>0.0065558808002559</v>
      </c>
      <c r="M28" s="41">
        <v>9.481605511111E-4</v>
      </c>
      <c r="O28" s="41">
        <v>7944.0</v>
      </c>
      <c r="P28" s="41">
        <v>364.697249372999</v>
      </c>
      <c r="Q28" s="41">
        <v>0.0043099369052404</v>
      </c>
      <c r="R28" s="41">
        <v>0.0043014492435582</v>
      </c>
      <c r="S28" s="41">
        <v>0.0070279806223799</v>
      </c>
      <c r="T28" s="41">
        <v>0.0010119603189583</v>
      </c>
    </row>
    <row r="29">
      <c r="A29" s="41">
        <v>5362.0</v>
      </c>
      <c r="B29" s="41">
        <v>224.66019145</v>
      </c>
      <c r="C29" s="41">
        <v>0.0035598383873356</v>
      </c>
      <c r="D29" s="41">
        <v>0.0026499394200243</v>
      </c>
      <c r="E29" s="41">
        <v>0.0042881623194159</v>
      </c>
      <c r="F29" s="41">
        <v>6.234253066416E-4</v>
      </c>
      <c r="H29" s="41">
        <v>7191.0</v>
      </c>
      <c r="I29" s="41">
        <v>284.872885484999</v>
      </c>
      <c r="J29" s="41">
        <v>0.0033539367994686</v>
      </c>
      <c r="K29" s="41">
        <v>0.0033593447286736</v>
      </c>
      <c r="L29" s="41">
        <v>0.0054542238078199</v>
      </c>
      <c r="M29" s="41">
        <v>7.903406639861E-4</v>
      </c>
      <c r="O29" s="41">
        <v>7339.0</v>
      </c>
      <c r="P29" s="41">
        <v>319.560508429</v>
      </c>
      <c r="Q29" s="41">
        <v>0.0037748984136746</v>
      </c>
      <c r="R29" s="41">
        <v>0.0037684402146826</v>
      </c>
      <c r="S29" s="41">
        <v>0.006154346034584</v>
      </c>
      <c r="T29" s="41">
        <v>8.865353848527E-4</v>
      </c>
    </row>
    <row r="30">
      <c r="A30" s="41">
        <v>5761.0</v>
      </c>
      <c r="B30" s="41">
        <v>247.783449994</v>
      </c>
      <c r="C30" s="41">
        <v>0.0039292664228405</v>
      </c>
      <c r="D30" s="41">
        <v>0.0029221364266847</v>
      </c>
      <c r="E30" s="41">
        <v>0.004736660178214</v>
      </c>
      <c r="F30" s="41">
        <v>6.874402448611E-4</v>
      </c>
      <c r="H30" s="41">
        <v>8280.0</v>
      </c>
      <c r="I30" s="41">
        <v>354.0193956</v>
      </c>
      <c r="J30" s="41">
        <v>0.0041727230103223</v>
      </c>
      <c r="K30" s="41">
        <v>0.0041753086392437</v>
      </c>
      <c r="L30" s="41">
        <v>0.006790894877156</v>
      </c>
      <c r="M30" s="41">
        <v>9.822783143361E-4</v>
      </c>
      <c r="O30" s="41">
        <v>7582.0</v>
      </c>
      <c r="P30" s="41">
        <v>329.692770134</v>
      </c>
      <c r="Q30" s="41">
        <v>0.0038952336185529</v>
      </c>
      <c r="R30" s="41">
        <v>0.0038883328456416</v>
      </c>
      <c r="S30" s="41">
        <v>0.006350780358398</v>
      </c>
      <c r="T30" s="41">
        <v>9.147851023222E-4</v>
      </c>
    </row>
    <row r="31">
      <c r="A31" s="41">
        <v>6237.0</v>
      </c>
      <c r="B31" s="41">
        <v>278.137702684</v>
      </c>
      <c r="C31" s="41">
        <v>0.0044139544655327</v>
      </c>
      <c r="D31" s="41">
        <v>0.0032799991311624</v>
      </c>
      <c r="E31" s="41">
        <v>0.00532412787041</v>
      </c>
      <c r="F31" s="41">
        <v>7.716458396999E-4</v>
      </c>
      <c r="H31" s="41">
        <v>8327.0</v>
      </c>
      <c r="I31" s="41">
        <v>346.128060754999</v>
      </c>
      <c r="J31" s="41">
        <v>0.0040786311676682</v>
      </c>
      <c r="K31" s="41">
        <v>0.0040814054040958</v>
      </c>
      <c r="L31" s="41">
        <v>0.0066374655877459</v>
      </c>
      <c r="M31" s="41">
        <v>9.601813393583E-4</v>
      </c>
      <c r="O31" s="41">
        <v>7538.0</v>
      </c>
      <c r="P31" s="41">
        <v>312.951765825999</v>
      </c>
      <c r="Q31" s="41">
        <v>0.0036962897838468</v>
      </c>
      <c r="R31" s="41">
        <v>0.0036910401398722</v>
      </c>
      <c r="S31" s="41">
        <v>0.0060248242643</v>
      </c>
      <c r="T31" s="41">
        <v>8.683635002861E-4</v>
      </c>
    </row>
    <row r="32">
      <c r="A32" s="41">
        <v>6324.0</v>
      </c>
      <c r="B32" s="41">
        <v>289.525073402001</v>
      </c>
      <c r="C32" s="41">
        <v>0.0045938609266606</v>
      </c>
      <c r="D32" s="41">
        <v>0.0034145980502611</v>
      </c>
      <c r="E32" s="41">
        <v>0.0055399980431059</v>
      </c>
      <c r="F32" s="41">
        <v>8.033198183388E-4</v>
      </c>
      <c r="H32" s="41">
        <v>7796.0</v>
      </c>
      <c r="I32" s="41">
        <v>312.365921526999</v>
      </c>
      <c r="J32" s="41">
        <v>0.0036792659422836</v>
      </c>
      <c r="K32" s="41">
        <v>0.0036836326059965</v>
      </c>
      <c r="L32" s="41">
        <v>0.0059852345104059</v>
      </c>
      <c r="M32" s="41">
        <v>8.666134685944E-4</v>
      </c>
      <c r="O32" s="41">
        <v>7863.0</v>
      </c>
      <c r="P32" s="41">
        <v>342.055538800999</v>
      </c>
      <c r="Q32" s="41">
        <v>0.0040416315188628</v>
      </c>
      <c r="R32" s="41">
        <v>0.004034383586161</v>
      </c>
      <c r="S32" s="41">
        <v>0.0065895872161099</v>
      </c>
      <c r="T32" s="41">
        <v>9.491340144638E-4</v>
      </c>
    </row>
    <row r="33">
      <c r="A33" s="41">
        <v>6532.0</v>
      </c>
      <c r="B33" s="41">
        <v>296.757409215999</v>
      </c>
      <c r="C33" s="41">
        <v>0.0047101272100479</v>
      </c>
      <c r="D33" s="41">
        <v>0.0035000407802457</v>
      </c>
      <c r="E33" s="41">
        <v>0.005681412045126</v>
      </c>
      <c r="F33" s="41">
        <v>8.234267264555E-4</v>
      </c>
      <c r="H33" s="41">
        <v>8026.0</v>
      </c>
      <c r="I33" s="41">
        <v>319.325304459998</v>
      </c>
      <c r="J33" s="41">
        <v>0.0037607373378267</v>
      </c>
      <c r="K33" s="41">
        <v>0.003766005763836</v>
      </c>
      <c r="L33" s="41">
        <v>0.0061167835045339</v>
      </c>
      <c r="M33" s="41">
        <v>8.859825000972E-4</v>
      </c>
      <c r="O33" s="41">
        <v>8336.0</v>
      </c>
      <c r="P33" s="41">
        <v>369.419989870999</v>
      </c>
      <c r="Q33" s="41">
        <v>0.0043653827717671</v>
      </c>
      <c r="R33" s="41">
        <v>0.0043572840705457</v>
      </c>
      <c r="S33" s="41">
        <v>0.007117783194222</v>
      </c>
      <c r="T33" s="41">
        <v>0.0010250906905138</v>
      </c>
    </row>
    <row r="34">
      <c r="A34" s="41">
        <v>6955.0</v>
      </c>
      <c r="B34" s="41">
        <v>322.815271805999</v>
      </c>
      <c r="C34" s="41">
        <v>0.0051269600969986</v>
      </c>
      <c r="D34" s="41">
        <v>0.0038069594694895</v>
      </c>
      <c r="E34" s="41">
        <v>0.00618771189461</v>
      </c>
      <c r="F34" s="41">
        <v>8.956116261499E-4</v>
      </c>
      <c r="H34" s="41">
        <v>7699.0</v>
      </c>
      <c r="I34" s="41">
        <v>287.962187424</v>
      </c>
      <c r="J34" s="41">
        <v>0.0033903260387814</v>
      </c>
      <c r="K34" s="41">
        <v>0.0033959913753146</v>
      </c>
      <c r="L34" s="41">
        <v>0.0055131780216499</v>
      </c>
      <c r="M34" s="41">
        <v>7.989394265638E-4</v>
      </c>
      <c r="O34" s="41">
        <v>8914.0</v>
      </c>
      <c r="P34" s="41">
        <v>409.795073539999</v>
      </c>
      <c r="Q34" s="41">
        <v>0.0048426900796049</v>
      </c>
      <c r="R34" s="41">
        <v>0.0048328880570687</v>
      </c>
      <c r="S34" s="41">
        <v>0.0078970518731919</v>
      </c>
      <c r="T34" s="41">
        <v>0.0011369748601305</v>
      </c>
    </row>
    <row r="35">
      <c r="A35" s="41">
        <v>6677.0</v>
      </c>
      <c r="B35" s="41">
        <v>315.368501239001</v>
      </c>
      <c r="C35" s="41">
        <v>0.0050058792319043</v>
      </c>
      <c r="D35" s="41">
        <v>0.0037192208745472</v>
      </c>
      <c r="E35" s="41">
        <v>0.006038912331126</v>
      </c>
      <c r="F35" s="41">
        <v>8.74959390925E-4</v>
      </c>
      <c r="H35" s="41">
        <v>8430.0</v>
      </c>
      <c r="I35" s="41">
        <v>342.956134039999</v>
      </c>
      <c r="J35" s="41">
        <v>0.0040410915345227</v>
      </c>
      <c r="K35" s="41">
        <v>0.0040450179023382</v>
      </c>
      <c r="L35" s="41">
        <v>0.00657491914882</v>
      </c>
      <c r="M35" s="41">
        <v>9.516215347194E-4</v>
      </c>
      <c r="O35" s="41">
        <v>8320.0</v>
      </c>
      <c r="P35" s="41">
        <v>357.341217971999</v>
      </c>
      <c r="Q35" s="41">
        <v>0.0042236441402049</v>
      </c>
      <c r="R35" s="41">
        <v>0.0042142941949368</v>
      </c>
      <c r="S35" s="41">
        <v>0.0068885157885859</v>
      </c>
      <c r="T35" s="41">
        <v>9.914831540499E-4</v>
      </c>
    </row>
    <row r="36">
      <c r="A36" s="41">
        <v>7681.0</v>
      </c>
      <c r="B36" s="41">
        <v>432.705385762001</v>
      </c>
      <c r="C36" s="41">
        <v>0.0068736462734367</v>
      </c>
      <c r="D36" s="41">
        <v>0.0051032420408049</v>
      </c>
      <c r="E36" s="41">
        <v>0.008296631915078</v>
      </c>
      <c r="F36" s="41">
        <v>0.0012005816116222</v>
      </c>
      <c r="H36" s="41">
        <v>7490.0</v>
      </c>
      <c r="I36" s="41">
        <v>295.800553989998</v>
      </c>
      <c r="J36" s="41">
        <v>0.0034836705502425</v>
      </c>
      <c r="K36" s="41">
        <v>0.0034883121892861</v>
      </c>
      <c r="L36" s="41">
        <v>0.005666406199788</v>
      </c>
      <c r="M36" s="41">
        <v>8.206799709111E-4</v>
      </c>
      <c r="O36" s="41">
        <v>8023.0</v>
      </c>
      <c r="P36" s="41">
        <v>357.462052038999</v>
      </c>
      <c r="Q36" s="41">
        <v>0.0042240053076235</v>
      </c>
      <c r="R36" s="41">
        <v>0.0042159334266069</v>
      </c>
      <c r="S36" s="41">
        <v>0.00688754856559</v>
      </c>
      <c r="T36" s="41">
        <v>9.918453387138E-4</v>
      </c>
    </row>
    <row r="37">
      <c r="A37" s="41">
        <v>5707.0</v>
      </c>
      <c r="B37" s="41">
        <v>230.850741481999</v>
      </c>
      <c r="C37" s="41">
        <v>0.003652132903447</v>
      </c>
      <c r="D37" s="41">
        <v>0.0027228321158263</v>
      </c>
      <c r="E37" s="41">
        <v>0.0043941801820079</v>
      </c>
      <c r="F37" s="41">
        <v>6.405594569805E-4</v>
      </c>
      <c r="H37" s="41">
        <v>8026.0</v>
      </c>
      <c r="I37" s="41">
        <v>309.997148894999</v>
      </c>
      <c r="J37" s="41">
        <v>0.0036507973593729</v>
      </c>
      <c r="K37" s="41">
        <v>0.0036562108677124</v>
      </c>
      <c r="L37" s="41">
        <v>0.005937622250094</v>
      </c>
      <c r="M37" s="41">
        <v>8.601284339805E-4</v>
      </c>
      <c r="O37" s="41">
        <v>8324.0</v>
      </c>
      <c r="P37" s="41">
        <v>354.012665791</v>
      </c>
      <c r="Q37" s="41">
        <v>0.004181817288806</v>
      </c>
      <c r="R37" s="41">
        <v>0.0041751347270361</v>
      </c>
      <c r="S37" s="41">
        <v>0.006817184064854</v>
      </c>
      <c r="T37" s="41">
        <v>9.822042644333E-4</v>
      </c>
    </row>
    <row r="38">
      <c r="A38" s="41">
        <v>5486.0</v>
      </c>
      <c r="B38" s="41">
        <v>233.379470638999</v>
      </c>
      <c r="C38" s="41">
        <v>0.0036943451123354</v>
      </c>
      <c r="D38" s="41">
        <v>0.0027526162745638</v>
      </c>
      <c r="E38" s="41">
        <v>0.0044470174465</v>
      </c>
      <c r="F38" s="41">
        <v>6.476018680194E-4</v>
      </c>
      <c r="H38" s="41">
        <v>6726.0</v>
      </c>
      <c r="I38" s="41">
        <v>242.000891879999</v>
      </c>
      <c r="J38" s="41">
        <v>0.0028457323382888</v>
      </c>
      <c r="K38" s="41">
        <v>0.0028538151861374</v>
      </c>
      <c r="L38" s="41">
        <v>0.00462349536546</v>
      </c>
      <c r="M38" s="41">
        <v>6.713686334499E-4</v>
      </c>
      <c r="O38" s="41">
        <v>8106.0</v>
      </c>
      <c r="P38" s="41">
        <v>365.531694443001</v>
      </c>
      <c r="Q38" s="41">
        <v>0.0043195757298857</v>
      </c>
      <c r="R38" s="41">
        <v>0.0043109255620937</v>
      </c>
      <c r="S38" s="41">
        <v>0.007043876746208</v>
      </c>
      <c r="T38" s="41">
        <v>0.0010141883956944</v>
      </c>
    </row>
    <row r="39">
      <c r="A39" s="41">
        <v>6146.0</v>
      </c>
      <c r="B39" s="41">
        <v>283.469606186999</v>
      </c>
      <c r="C39" s="41">
        <v>0.0044925878963603</v>
      </c>
      <c r="D39" s="41">
        <v>0.0033435269600632</v>
      </c>
      <c r="E39" s="41">
        <v>0.005412673219024</v>
      </c>
      <c r="F39" s="41">
        <v>7.865995744305E-4</v>
      </c>
      <c r="H39" s="41">
        <v>8406.0</v>
      </c>
      <c r="I39" s="41">
        <v>350.198143689</v>
      </c>
      <c r="J39" s="41">
        <v>0.0041253875049528</v>
      </c>
      <c r="K39" s="41">
        <v>0.0041298296889277</v>
      </c>
      <c r="L39" s="41">
        <v>0.006711552035904</v>
      </c>
      <c r="M39" s="41">
        <v>9.715561399E-4</v>
      </c>
      <c r="O39" s="41">
        <v>8363.0</v>
      </c>
      <c r="P39" s="41">
        <v>373.057862102001</v>
      </c>
      <c r="Q39" s="41">
        <v>0.0044080402690062</v>
      </c>
      <c r="R39" s="41">
        <v>0.0043997321808673</v>
      </c>
      <c r="S39" s="41">
        <v>0.007187478527756</v>
      </c>
      <c r="T39" s="41">
        <v>0.0010350958602722</v>
      </c>
    </row>
    <row r="40">
      <c r="A40" s="41">
        <v>6710.0</v>
      </c>
      <c r="B40" s="41">
        <v>335.134674581999</v>
      </c>
      <c r="C40" s="41">
        <v>0.0053184176002647</v>
      </c>
      <c r="D40" s="41">
        <v>0.0039523429549444</v>
      </c>
      <c r="E40" s="41">
        <v>0.006414785131824</v>
      </c>
      <c r="F40" s="41">
        <v>9.298337837E-4</v>
      </c>
      <c r="H40" s="41">
        <v>7444.0</v>
      </c>
      <c r="I40" s="41">
        <v>285.890854444</v>
      </c>
      <c r="J40" s="41">
        <v>0.0033651784295082</v>
      </c>
      <c r="K40" s="41">
        <v>0.0033714358913242</v>
      </c>
      <c r="L40" s="41">
        <v>0.0054714946549699</v>
      </c>
      <c r="M40" s="41">
        <v>7.931687640833E-4</v>
      </c>
      <c r="O40" s="41">
        <v>8756.0</v>
      </c>
      <c r="P40" s="41">
        <v>409.819850161999</v>
      </c>
      <c r="Q40" s="41">
        <v>0.0048434693154456</v>
      </c>
      <c r="R40" s="41">
        <v>0.0048335043267131</v>
      </c>
      <c r="S40" s="41">
        <v>0.0078985013187959</v>
      </c>
      <c r="T40" s="41">
        <v>0.0011371404660749</v>
      </c>
    </row>
    <row r="41">
      <c r="A41" s="41">
        <v>7114.0</v>
      </c>
      <c r="B41" s="41">
        <v>352.039178221</v>
      </c>
      <c r="C41" s="41">
        <v>0.0055871490131136</v>
      </c>
      <c r="D41" s="41">
        <v>0.0041517228787215</v>
      </c>
      <c r="E41" s="41">
        <v>0.00673932344701</v>
      </c>
      <c r="F41" s="41">
        <v>9.767335497389E-4</v>
      </c>
      <c r="H41" s="41">
        <v>8192.0</v>
      </c>
      <c r="I41" s="41">
        <v>315.826003557</v>
      </c>
      <c r="J41" s="41">
        <v>0.0037195350451338</v>
      </c>
      <c r="K41" s="41">
        <v>0.0037246589285785</v>
      </c>
      <c r="L41" s="41">
        <v>0.0060498528954339</v>
      </c>
      <c r="M41" s="41">
        <v>8.762782705194E-4</v>
      </c>
      <c r="O41" s="41">
        <v>9752.0</v>
      </c>
      <c r="P41" s="41">
        <v>469.545584352999</v>
      </c>
      <c r="Q41" s="41">
        <v>0.0055512669926282</v>
      </c>
      <c r="R41" s="41">
        <v>0.0055379035402576</v>
      </c>
      <c r="S41" s="41">
        <v>0.00905514474411</v>
      </c>
      <c r="T41" s="41">
        <v>0.0013028577306972</v>
      </c>
    </row>
    <row r="42">
      <c r="A42" s="41">
        <v>5607.0</v>
      </c>
      <c r="B42" s="41">
        <v>232.93848448</v>
      </c>
      <c r="C42" s="41">
        <v>0.0036874621598941</v>
      </c>
      <c r="D42" s="41">
        <v>0.002747417382943</v>
      </c>
      <c r="E42" s="41">
        <v>0.0044388371621779</v>
      </c>
      <c r="F42" s="41">
        <v>6.463608209694E-4</v>
      </c>
      <c r="H42" s="41">
        <v>8091.0</v>
      </c>
      <c r="I42" s="41">
        <v>324.399489875</v>
      </c>
      <c r="J42" s="41">
        <v>0.0038208883931866</v>
      </c>
      <c r="K42" s="41">
        <v>0.0038259730824555</v>
      </c>
      <c r="L42" s="41">
        <v>0.006214944416396</v>
      </c>
      <c r="M42" s="41">
        <v>9.000952236138E-4</v>
      </c>
      <c r="O42" s="41">
        <v>8628.0</v>
      </c>
      <c r="P42" s="41">
        <v>393.932787039999</v>
      </c>
      <c r="Q42" s="41">
        <v>0.0046543788955489</v>
      </c>
      <c r="R42" s="41">
        <v>0.0046456544986965</v>
      </c>
      <c r="S42" s="41">
        <v>0.0075890952379379</v>
      </c>
      <c r="T42" s="41">
        <v>0.0010929409653972</v>
      </c>
    </row>
    <row r="43">
      <c r="A43" s="41">
        <v>5903.0</v>
      </c>
      <c r="B43" s="41">
        <v>242.727733479001</v>
      </c>
      <c r="C43" s="41">
        <v>0.0038442408047694</v>
      </c>
      <c r="D43" s="41">
        <v>0.0028627031217813</v>
      </c>
      <c r="E43" s="41">
        <v>0.00462945092578</v>
      </c>
      <c r="F43" s="41">
        <v>6.734781115639E-4</v>
      </c>
      <c r="H43" s="41">
        <v>8443.0</v>
      </c>
      <c r="I43" s="41">
        <v>335.777558738</v>
      </c>
      <c r="J43" s="41">
        <v>0.0039552667611962</v>
      </c>
      <c r="K43" s="41">
        <v>0.0039601263618305</v>
      </c>
      <c r="L43" s="41">
        <v>0.0064340076472019</v>
      </c>
      <c r="M43" s="41">
        <v>9.31667611386E-4</v>
      </c>
      <c r="O43" s="41">
        <v>9833.0</v>
      </c>
      <c r="P43" s="41">
        <v>478.202720019</v>
      </c>
      <c r="Q43" s="41">
        <v>0.0056523697682622</v>
      </c>
      <c r="R43" s="41">
        <v>0.0056397449081103</v>
      </c>
      <c r="S43" s="41">
        <v>0.009218864875086</v>
      </c>
      <c r="T43" s="41">
        <v>0.0013268013523166</v>
      </c>
    </row>
    <row r="44">
      <c r="A44" s="41">
        <v>6448.0</v>
      </c>
      <c r="B44" s="41">
        <v>310.586507803</v>
      </c>
      <c r="C44" s="41">
        <v>0.0049223856303269</v>
      </c>
      <c r="D44" s="41">
        <v>0.0036627698823826</v>
      </c>
      <c r="E44" s="41">
        <v>0.0059312755783499</v>
      </c>
      <c r="F44" s="41">
        <v>8.616966334527E-4</v>
      </c>
      <c r="H44" s="41">
        <v>8010.0</v>
      </c>
      <c r="I44" s="41">
        <v>320.63675698</v>
      </c>
      <c r="J44" s="41">
        <v>0.0037758187004391</v>
      </c>
      <c r="K44" s="41">
        <v>0.0037817148871347</v>
      </c>
      <c r="L44" s="41">
        <v>0.006140558245776</v>
      </c>
      <c r="M44" s="41">
        <v>8.896837179861E-4</v>
      </c>
      <c r="O44" s="41">
        <v>8366.0</v>
      </c>
      <c r="P44" s="41">
        <v>377.547739357998</v>
      </c>
      <c r="Q44" s="41">
        <v>0.0044617146192857</v>
      </c>
      <c r="R44" s="41">
        <v>0.0044533655041478</v>
      </c>
      <c r="S44" s="41">
        <v>0.007274943597728</v>
      </c>
      <c r="T44" s="41">
        <v>0.0010476925475472</v>
      </c>
    </row>
    <row r="45">
      <c r="A45" s="41">
        <v>6045.0</v>
      </c>
      <c r="B45" s="41">
        <v>259.086759298999</v>
      </c>
      <c r="C45" s="41">
        <v>0.0041056725522448</v>
      </c>
      <c r="D45" s="41">
        <v>0.0030552749668278</v>
      </c>
      <c r="E45" s="41">
        <v>0.004946892568622</v>
      </c>
      <c r="F45" s="41">
        <v>7.187772570444E-4</v>
      </c>
      <c r="H45" s="41">
        <v>7648.0</v>
      </c>
      <c r="I45" s="41">
        <v>285.1786056</v>
      </c>
      <c r="J45" s="41">
        <v>0.0033567520653401</v>
      </c>
      <c r="K45" s="41">
        <v>0.0033630495595458</v>
      </c>
      <c r="L45" s="41">
        <v>0.0054577313106259</v>
      </c>
      <c r="M45" s="41">
        <v>7.911897695722E-4</v>
      </c>
      <c r="O45" s="41">
        <v>8067.0</v>
      </c>
      <c r="P45" s="41">
        <v>339.473920065</v>
      </c>
      <c r="Q45" s="41">
        <v>0.0040108775353513</v>
      </c>
      <c r="R45" s="41">
        <v>0.0040039333153256</v>
      </c>
      <c r="S45" s="41">
        <v>0.006539115231288</v>
      </c>
      <c r="T45" s="41">
        <v>9.419930528166E-4</v>
      </c>
    </row>
    <row r="46">
      <c r="A46" s="41">
        <v>5234.0</v>
      </c>
      <c r="B46" s="41">
        <v>210.441922221998</v>
      </c>
      <c r="C46" s="41">
        <v>0.0033290901396053</v>
      </c>
      <c r="D46" s="41">
        <v>0.0024819008327784</v>
      </c>
      <c r="E46" s="41">
        <v>0.00400560181559</v>
      </c>
      <c r="F46" s="41">
        <v>5.838872268083E-4</v>
      </c>
      <c r="H46" s="41">
        <v>7585.0</v>
      </c>
      <c r="I46" s="41">
        <v>302.644084530998</v>
      </c>
      <c r="J46" s="41">
        <v>0.0035624352874602</v>
      </c>
      <c r="K46" s="41">
        <v>0.0035689646165228</v>
      </c>
      <c r="L46" s="41">
        <v>0.00579233518942</v>
      </c>
      <c r="M46" s="41">
        <v>8.396392930805E-4</v>
      </c>
      <c r="O46" s="41">
        <v>9022.0</v>
      </c>
      <c r="P46" s="41">
        <v>443.979717307</v>
      </c>
      <c r="Q46" s="41">
        <v>0.0052476458349656</v>
      </c>
      <c r="R46" s="41">
        <v>0.0052365322572029</v>
      </c>
      <c r="S46" s="41">
        <v>0.008557996846392</v>
      </c>
      <c r="T46" s="41">
        <v>0.0012319657675277</v>
      </c>
    </row>
    <row r="47">
      <c r="A47" s="41">
        <v>6626.0</v>
      </c>
      <c r="B47" s="41">
        <v>326.924017633</v>
      </c>
      <c r="C47" s="41">
        <v>0.005185448295678</v>
      </c>
      <c r="D47" s="41">
        <v>0.0038556589223542</v>
      </c>
      <c r="E47" s="41">
        <v>0.006251771112524</v>
      </c>
      <c r="F47" s="41">
        <v>9.070889593888E-4</v>
      </c>
      <c r="H47" s="41">
        <v>7453.0</v>
      </c>
      <c r="I47" s="41">
        <v>287.549935807001</v>
      </c>
      <c r="J47" s="41">
        <v>0.0033853148235629</v>
      </c>
      <c r="K47" s="41">
        <v>0.0033911511072645</v>
      </c>
      <c r="L47" s="41">
        <v>0.005504825792746</v>
      </c>
      <c r="M47" s="41">
        <v>7.977824414555E-4</v>
      </c>
      <c r="O47" s="41">
        <v>7759.0</v>
      </c>
      <c r="P47" s="41">
        <v>331.890078161999</v>
      </c>
      <c r="Q47" s="41">
        <v>0.0039213241526931</v>
      </c>
      <c r="R47" s="41">
        <v>0.0039142217793861</v>
      </c>
      <c r="S47" s="41">
        <v>0.0063935262259279</v>
      </c>
      <c r="T47" s="41">
        <v>9.208598545833E-4</v>
      </c>
    </row>
    <row r="48">
      <c r="A48" s="41">
        <v>5444.0</v>
      </c>
      <c r="B48" s="41">
        <v>221.808751176999</v>
      </c>
      <c r="C48" s="41">
        <v>0.0035115645898582</v>
      </c>
      <c r="D48" s="41">
        <v>0.0026160020746458</v>
      </c>
      <c r="E48" s="41">
        <v>0.004227548104258</v>
      </c>
      <c r="F48" s="41">
        <v>6.154374860249E-4</v>
      </c>
      <c r="H48" s="41">
        <v>7245.0</v>
      </c>
      <c r="I48" s="41">
        <v>277.781501519</v>
      </c>
      <c r="J48" s="41">
        <v>0.0032666562985021</v>
      </c>
      <c r="K48" s="41">
        <v>0.0032760629647979</v>
      </c>
      <c r="L48" s="41">
        <v>0.0053071961901979</v>
      </c>
      <c r="M48" s="41">
        <v>7.707246424805E-4</v>
      </c>
      <c r="O48" s="41">
        <v>7175.0</v>
      </c>
      <c r="P48" s="41">
        <v>289.306736167</v>
      </c>
      <c r="Q48" s="41">
        <v>0.0034133716308038</v>
      </c>
      <c r="R48" s="41">
        <v>0.0034119381730986</v>
      </c>
      <c r="S48" s="41">
        <v>0.005559490280922</v>
      </c>
      <c r="T48" s="41">
        <v>8.026708119305E-4</v>
      </c>
    </row>
    <row r="49">
      <c r="A49" s="41">
        <v>6785.0</v>
      </c>
      <c r="B49" s="41">
        <v>303.897010577999</v>
      </c>
      <c r="C49" s="41">
        <v>0.0048187283203654</v>
      </c>
      <c r="D49" s="41">
        <v>0.0035835672099868</v>
      </c>
      <c r="E49" s="41">
        <v>0.005808910480458</v>
      </c>
      <c r="F49" s="41">
        <v>8.430837473416E-4</v>
      </c>
      <c r="H49" s="41">
        <v>8327.0</v>
      </c>
      <c r="I49" s="41">
        <v>314.234454987999</v>
      </c>
      <c r="J49" s="41">
        <v>0.003699092172839</v>
      </c>
      <c r="K49" s="41">
        <v>0.0037061791983576</v>
      </c>
      <c r="L49" s="41">
        <v>0.006014123977962</v>
      </c>
      <c r="M49" s="41">
        <v>8.719492948E-4</v>
      </c>
      <c r="O49" s="41">
        <v>8423.0</v>
      </c>
      <c r="P49" s="41">
        <v>341.734031264997</v>
      </c>
      <c r="Q49" s="41">
        <v>0.0040372212482722</v>
      </c>
      <c r="R49" s="41">
        <v>0.0040310915842094</v>
      </c>
      <c r="S49" s="41">
        <v>0.006581009987026</v>
      </c>
      <c r="T49" s="41">
        <v>9.483745524638E-4</v>
      </c>
    </row>
    <row r="50">
      <c r="A50" s="41">
        <v>5763.0</v>
      </c>
      <c r="B50" s="41">
        <v>264.096289766001</v>
      </c>
      <c r="C50" s="41">
        <v>0.0041833431948382</v>
      </c>
      <c r="D50" s="41">
        <v>0.0031145870690979</v>
      </c>
      <c r="E50" s="41">
        <v>0.0050386023642119</v>
      </c>
      <c r="F50" s="41">
        <v>7.327371928388E-4</v>
      </c>
      <c r="H50" s="41">
        <v>7462.0</v>
      </c>
      <c r="I50" s="41">
        <v>301.697642806999</v>
      </c>
      <c r="J50" s="41">
        <v>0.0035456580122331</v>
      </c>
      <c r="K50" s="41">
        <v>0.0035581738232319</v>
      </c>
      <c r="L50" s="41">
        <v>0.005757644606112</v>
      </c>
      <c r="M50" s="41">
        <v>8.370793863916E-4</v>
      </c>
      <c r="O50" s="41">
        <v>8140.0</v>
      </c>
      <c r="P50" s="41">
        <v>378.437212292999</v>
      </c>
      <c r="Q50" s="41">
        <v>0.0044709153260001</v>
      </c>
      <c r="R50" s="41">
        <v>0.0044631071072818</v>
      </c>
      <c r="S50" s="41">
        <v>0.00728927527586</v>
      </c>
      <c r="T50" s="41">
        <v>0.0010499652462888</v>
      </c>
    </row>
    <row r="51">
      <c r="A51" s="41">
        <v>7021.0</v>
      </c>
      <c r="B51" s="41">
        <v>340.996325894999</v>
      </c>
      <c r="C51" s="41">
        <v>0.005411814508329</v>
      </c>
      <c r="D51" s="41">
        <v>0.0040221241083284</v>
      </c>
      <c r="E51" s="41">
        <v>0.0065269966104819</v>
      </c>
      <c r="F51" s="41">
        <v>9.462274741555E-4</v>
      </c>
      <c r="H51" s="41">
        <v>8048.0</v>
      </c>
      <c r="I51" s="41">
        <v>312.311856528</v>
      </c>
      <c r="J51" s="41">
        <v>0.0036749810429354</v>
      </c>
      <c r="K51" s="41">
        <v>0.0036834687557819</v>
      </c>
      <c r="L51" s="41">
        <v>0.005973182834098</v>
      </c>
      <c r="M51" s="41">
        <v>8.665592993138E-4</v>
      </c>
      <c r="O51" s="41">
        <v>8899.0</v>
      </c>
      <c r="P51" s="41">
        <v>396.436607953</v>
      </c>
      <c r="Q51" s="41">
        <v>0.0046843532252754</v>
      </c>
      <c r="R51" s="41">
        <v>0.004675526548532</v>
      </c>
      <c r="S51" s="41">
        <v>0.0076380308326419</v>
      </c>
      <c r="T51" s="41">
        <v>0.0010999640201972</v>
      </c>
    </row>
    <row r="52">
      <c r="A52" s="41">
        <v>6551.0</v>
      </c>
      <c r="B52" s="41">
        <v>297.386944416999</v>
      </c>
      <c r="C52" s="41">
        <v>0.0047116086761378</v>
      </c>
      <c r="D52" s="41">
        <v>0.0035064788817076</v>
      </c>
      <c r="E52" s="41">
        <v>0.005676624263518</v>
      </c>
      <c r="F52" s="41">
        <v>8.249232196555E-4</v>
      </c>
      <c r="H52" s="41">
        <v>8298.0</v>
      </c>
      <c r="I52" s="41">
        <v>327.212256487</v>
      </c>
      <c r="J52" s="41">
        <v>0.0038501202565677</v>
      </c>
      <c r="K52" s="41">
        <v>0.0038588730562895</v>
      </c>
      <c r="L52" s="41">
        <v>0.006258003061954</v>
      </c>
      <c r="M52" s="41">
        <v>9.078412708444E-4</v>
      </c>
      <c r="O52" s="41">
        <v>9048.0</v>
      </c>
      <c r="P52" s="41">
        <v>412.525508514998</v>
      </c>
      <c r="Q52" s="41">
        <v>0.0048745959559419</v>
      </c>
      <c r="R52" s="41">
        <v>0.0048650650060865</v>
      </c>
      <c r="S52" s="41">
        <v>0.007948642192242</v>
      </c>
      <c r="T52" s="41">
        <v>0.0011445692239666</v>
      </c>
    </row>
    <row r="53">
      <c r="A53" s="41">
        <v>6580.0</v>
      </c>
      <c r="B53" s="41">
        <v>305.360926972</v>
      </c>
      <c r="C53" s="41">
        <v>0.0048425639032569</v>
      </c>
      <c r="D53" s="41">
        <v>0.0036015139377674</v>
      </c>
      <c r="E53" s="41">
        <v>0.005837371892116</v>
      </c>
      <c r="F53" s="41">
        <v>8.473052671972E-4</v>
      </c>
      <c r="H53" s="41">
        <v>7883.0</v>
      </c>
      <c r="I53" s="41">
        <v>300.313829108999</v>
      </c>
      <c r="J53" s="41">
        <v>0.0035343480728236</v>
      </c>
      <c r="K53" s="41">
        <v>0.0035415605220548</v>
      </c>
      <c r="L53" s="41">
        <v>0.0057457545965999</v>
      </c>
      <c r="M53" s="41">
        <v>8.331969851111E-4</v>
      </c>
      <c r="O53" s="41">
        <v>8321.0</v>
      </c>
      <c r="P53" s="41">
        <v>354.158648317003</v>
      </c>
      <c r="Q53" s="41">
        <v>0.0041844025939721</v>
      </c>
      <c r="R53" s="41">
        <v>0.0041769603461041</v>
      </c>
      <c r="S53" s="41">
        <v>0.0068222790689299</v>
      </c>
      <c r="T53" s="41">
        <v>9.826865941638E-4</v>
      </c>
    </row>
    <row r="54">
      <c r="A54" s="41">
        <v>7175.0</v>
      </c>
      <c r="B54" s="41">
        <v>359.177470159</v>
      </c>
      <c r="C54" s="41">
        <v>0.0056978838713345</v>
      </c>
      <c r="D54" s="41">
        <v>0.0042363765653227</v>
      </c>
      <c r="E54" s="41">
        <v>0.0068699874404299</v>
      </c>
      <c r="F54" s="41">
        <v>9.966300941499E-4</v>
      </c>
      <c r="H54" s="41">
        <v>7573.0</v>
      </c>
      <c r="I54" s="41">
        <v>281.177954615999</v>
      </c>
      <c r="J54" s="41">
        <v>0.0033056640053243</v>
      </c>
      <c r="K54" s="41">
        <v>0.0033163421689124</v>
      </c>
      <c r="L54" s="41">
        <v>0.005369144850868</v>
      </c>
      <c r="M54" s="41">
        <v>7.801943131111E-4</v>
      </c>
      <c r="O54" s="41">
        <v>8077.0</v>
      </c>
      <c r="P54" s="41">
        <v>333.849585170002</v>
      </c>
      <c r="Q54" s="41">
        <v>0.0039432520328654</v>
      </c>
      <c r="R54" s="41">
        <v>0.0039377331146049</v>
      </c>
      <c r="S54" s="41">
        <v>0.0064272518084639</v>
      </c>
      <c r="T54" s="41">
        <v>9.264128409694E-4</v>
      </c>
    </row>
    <row r="55">
      <c r="A55" s="41">
        <v>7288.0</v>
      </c>
      <c r="B55" s="41">
        <v>352.431385228001</v>
      </c>
      <c r="C55" s="41">
        <v>0.0055943790610672</v>
      </c>
      <c r="D55" s="41">
        <v>0.0041562734611992</v>
      </c>
      <c r="E55" s="41">
        <v>0.0067490681770279</v>
      </c>
      <c r="F55" s="41">
        <v>9.77795733061E-4</v>
      </c>
      <c r="H55" s="41">
        <v>7771.0</v>
      </c>
      <c r="I55" s="41">
        <v>283.552865072997</v>
      </c>
      <c r="J55" s="41">
        <v>0.0033324305882342</v>
      </c>
      <c r="K55" s="41">
        <v>0.0033441648821353</v>
      </c>
      <c r="L55" s="41">
        <v>0.0054114112735699</v>
      </c>
      <c r="M55" s="41">
        <v>7.867505784694E-4</v>
      </c>
      <c r="O55" s="41">
        <v>8764.0</v>
      </c>
      <c r="P55" s="41">
        <v>375.840178176</v>
      </c>
      <c r="Q55" s="41">
        <v>0.0044410527932545</v>
      </c>
      <c r="R55" s="41">
        <v>0.0044326878152396</v>
      </c>
      <c r="S55" s="41">
        <v>0.0072412955152539</v>
      </c>
      <c r="T55" s="41">
        <v>0.0010428537272916</v>
      </c>
    </row>
    <row r="56">
      <c r="A56" s="41">
        <v>5674.0</v>
      </c>
      <c r="B56" s="41">
        <v>242.520740582998</v>
      </c>
      <c r="C56" s="41">
        <v>0.0038347231244358</v>
      </c>
      <c r="D56" s="41">
        <v>0.0028602593507318</v>
      </c>
      <c r="E56" s="41">
        <v>0.0046122506342419</v>
      </c>
      <c r="F56" s="41">
        <v>6.729054706305E-4</v>
      </c>
      <c r="H56" s="41">
        <v>7878.0</v>
      </c>
      <c r="I56" s="41">
        <v>315.728716831999</v>
      </c>
      <c r="J56" s="41">
        <v>0.0037134555887658</v>
      </c>
      <c r="K56" s="41">
        <v>0.0037229627181379</v>
      </c>
      <c r="L56" s="41">
        <v>0.0060345737165439</v>
      </c>
      <c r="M56" s="41">
        <v>8.758452975471E-4</v>
      </c>
      <c r="O56" s="41">
        <v>8105.0</v>
      </c>
      <c r="P56" s="41">
        <v>354.955712065999</v>
      </c>
      <c r="Q56" s="41">
        <v>0.004194523725455</v>
      </c>
      <c r="R56" s="41">
        <v>0.0041860828342304</v>
      </c>
      <c r="S56" s="41">
        <v>0.006840003527554</v>
      </c>
      <c r="T56" s="41">
        <v>9.848212393694E-4</v>
      </c>
    </row>
    <row r="57">
      <c r="A57" s="41">
        <v>7336.0</v>
      </c>
      <c r="B57" s="41">
        <v>368.159451184001</v>
      </c>
      <c r="C57" s="41">
        <v>0.0058443740821302</v>
      </c>
      <c r="D57" s="41">
        <v>0.0043422381047453</v>
      </c>
      <c r="E57" s="41">
        <v>0.00705035564028</v>
      </c>
      <c r="F57" s="41">
        <v>0.0010215632702666</v>
      </c>
      <c r="H57" s="41">
        <v>7749.0</v>
      </c>
      <c r="I57" s="41">
        <v>288.211099357999</v>
      </c>
      <c r="J57" s="41">
        <v>0.0033876046333522</v>
      </c>
      <c r="K57" s="41">
        <v>0.0033988240706165</v>
      </c>
      <c r="L57" s="41">
        <v>0.005501871901494</v>
      </c>
      <c r="M57" s="41">
        <v>7.996201790444E-4</v>
      </c>
      <c r="O57" s="41">
        <v>8982.0</v>
      </c>
      <c r="P57" s="41">
        <v>399.108678192002</v>
      </c>
      <c r="Q57" s="41">
        <v>0.004716400461784</v>
      </c>
      <c r="R57" s="41">
        <v>0.0047065392829257</v>
      </c>
      <c r="S57" s="41">
        <v>0.0076914978198599</v>
      </c>
      <c r="T57" s="41">
        <v>0.0011072507115972</v>
      </c>
    </row>
    <row r="58">
      <c r="A58" s="41">
        <v>5461.0</v>
      </c>
      <c r="B58" s="41">
        <v>231.739670069</v>
      </c>
      <c r="C58" s="41">
        <v>0.0036649321249512</v>
      </c>
      <c r="D58" s="41">
        <v>0.0027330938683972</v>
      </c>
      <c r="E58" s="41">
        <v>0.0044086879713919</v>
      </c>
      <c r="F58" s="41">
        <v>6.429770086638E-4</v>
      </c>
      <c r="H58" s="41">
        <v>7854.0</v>
      </c>
      <c r="I58" s="41">
        <v>322.293417467</v>
      </c>
      <c r="J58" s="41">
        <v>0.003790021338984</v>
      </c>
      <c r="K58" s="41">
        <v>0.003800650578393</v>
      </c>
      <c r="L58" s="41">
        <v>0.0061578410373799</v>
      </c>
      <c r="M58" s="41">
        <v>8.941341144583E-4</v>
      </c>
      <c r="O58" s="41">
        <v>7841.0</v>
      </c>
      <c r="P58" s="41">
        <v>343.733694514001</v>
      </c>
      <c r="Q58" s="41">
        <v>0.004061504215297</v>
      </c>
      <c r="R58" s="41">
        <v>0.0040538369241966</v>
      </c>
      <c r="S58" s="41">
        <v>0.0066224455757299</v>
      </c>
      <c r="T58" s="41">
        <v>9.537272567444E-4</v>
      </c>
    </row>
    <row r="59">
      <c r="A59" s="41">
        <v>5690.0</v>
      </c>
      <c r="B59" s="41">
        <v>259.101669706</v>
      </c>
      <c r="C59" s="41">
        <v>0.0041026284160373</v>
      </c>
      <c r="D59" s="41">
        <v>0.0030557985958222</v>
      </c>
      <c r="E59" s="41">
        <v>0.0049397706184799</v>
      </c>
      <c r="F59" s="41">
        <v>7.189094649138E-4</v>
      </c>
      <c r="H59" s="41">
        <v>7534.0</v>
      </c>
      <c r="I59" s="41">
        <v>307.572874376997</v>
      </c>
      <c r="J59" s="41">
        <v>0.0036173339819627</v>
      </c>
      <c r="K59" s="41">
        <v>0.0036278537378735</v>
      </c>
      <c r="L59" s="41">
        <v>0.005876777479196</v>
      </c>
      <c r="M59" s="41">
        <v>8.535088397388E-4</v>
      </c>
      <c r="O59" s="41">
        <v>7903.0</v>
      </c>
      <c r="P59" s="41">
        <v>360.307527709999</v>
      </c>
      <c r="Q59" s="41">
        <v>0.0042574249282193</v>
      </c>
      <c r="R59" s="41">
        <v>0.0042497657473903</v>
      </c>
      <c r="S59" s="41">
        <v>0.006941450553156</v>
      </c>
      <c r="T59" s="41">
        <v>9.998072288638E-4</v>
      </c>
    </row>
    <row r="60">
      <c r="A60" s="41">
        <v>6073.0</v>
      </c>
      <c r="B60" s="41">
        <v>267.156102005999</v>
      </c>
      <c r="C60" s="41">
        <v>0.0042294454323461</v>
      </c>
      <c r="D60" s="41">
        <v>0.0031510502676172</v>
      </c>
      <c r="E60" s="41">
        <v>0.0050915024065319</v>
      </c>
      <c r="F60" s="41">
        <v>7.413006772805E-4</v>
      </c>
      <c r="H60" s="41">
        <v>8385.0</v>
      </c>
      <c r="I60" s="41">
        <v>339.424259933002</v>
      </c>
      <c r="J60" s="41">
        <v>0.0039948585789116</v>
      </c>
      <c r="K60" s="41">
        <v>0.0040034485135757</v>
      </c>
      <c r="L60" s="41">
        <v>0.0064938710284259</v>
      </c>
      <c r="M60" s="41">
        <v>9.418521999055E-4</v>
      </c>
      <c r="O60" s="41">
        <v>8348.0</v>
      </c>
      <c r="P60" s="41">
        <v>363.392780505</v>
      </c>
      <c r="Q60" s="41">
        <v>0.0042931916544291</v>
      </c>
      <c r="R60" s="41">
        <v>0.004286230074143</v>
      </c>
      <c r="S60" s="41">
        <v>0.0069988239323879</v>
      </c>
      <c r="T60" s="41">
        <v>0.0010083865961443</v>
      </c>
    </row>
    <row r="61">
      <c r="A61" s="41">
        <v>5333.0</v>
      </c>
      <c r="B61" s="41">
        <v>227.521388259996</v>
      </c>
      <c r="C61" s="41">
        <v>0.0035979322700637</v>
      </c>
      <c r="D61" s="41">
        <v>0.0026832745056117</v>
      </c>
      <c r="E61" s="41">
        <v>0.004327924017892</v>
      </c>
      <c r="F61" s="41">
        <v>6.312445342611E-4</v>
      </c>
      <c r="H61" s="41">
        <v>7813.0</v>
      </c>
      <c r="I61" s="41">
        <v>325.362293504</v>
      </c>
      <c r="J61" s="41">
        <v>0.0038285663959351</v>
      </c>
      <c r="K61" s="41">
        <v>0.0038370064406597</v>
      </c>
      <c r="L61" s="41">
        <v>0.0062233144230919</v>
      </c>
      <c r="M61" s="41">
        <v>9.026776162416E-4</v>
      </c>
      <c r="O61" s="41">
        <v>7491.0</v>
      </c>
      <c r="P61" s="41">
        <v>324.901341714001</v>
      </c>
      <c r="Q61" s="41">
        <v>0.003837804787685</v>
      </c>
      <c r="R61" s="41">
        <v>0.0038321087414387</v>
      </c>
      <c r="S61" s="41">
        <v>0.00625579944908</v>
      </c>
      <c r="T61" s="41">
        <v>9.015441795833E-4</v>
      </c>
    </row>
    <row r="62">
      <c r="A62" s="41">
        <v>6711.0</v>
      </c>
      <c r="B62" s="41">
        <v>320.147058296999</v>
      </c>
      <c r="C62" s="41">
        <v>0.0050784050833152</v>
      </c>
      <c r="D62" s="41">
        <v>0.0037756608855264</v>
      </c>
      <c r="E62" s="41">
        <v>0.0061232510097079</v>
      </c>
      <c r="F62" s="41">
        <v>8.882343766471E-4</v>
      </c>
      <c r="H62" s="41">
        <v>8574.0</v>
      </c>
      <c r="I62" s="41">
        <v>350.727423422002</v>
      </c>
      <c r="J62" s="41">
        <v>0.0041308968204489</v>
      </c>
      <c r="K62" s="41">
        <v>0.0041361118410666</v>
      </c>
      <c r="L62" s="41">
        <v>0.006719519542278</v>
      </c>
      <c r="M62" s="41">
        <v>9.730822604027E-4</v>
      </c>
      <c r="O62" s="41">
        <v>7794.0</v>
      </c>
      <c r="P62" s="41">
        <v>319.578045457001</v>
      </c>
      <c r="Q62" s="41">
        <v>0.003775487001481</v>
      </c>
      <c r="R62" s="41">
        <v>0.0037690353396915</v>
      </c>
      <c r="S62" s="41">
        <v>0.0061552529797539</v>
      </c>
      <c r="T62" s="41">
        <v>8.867187202694E-4</v>
      </c>
    </row>
    <row r="63">
      <c r="A63" s="41">
        <v>5815.0</v>
      </c>
      <c r="B63" s="41">
        <v>249.601016259999</v>
      </c>
      <c r="C63" s="41">
        <v>0.0039496849092077</v>
      </c>
      <c r="D63" s="41">
        <v>0.0029431603378291</v>
      </c>
      <c r="E63" s="41">
        <v>0.0047540426921199</v>
      </c>
      <c r="F63" s="41">
        <v>6.924051530305E-4</v>
      </c>
      <c r="H63" s="41">
        <v>7322.0</v>
      </c>
      <c r="I63" s="41">
        <v>255.347050108997</v>
      </c>
      <c r="J63" s="41">
        <v>0.0030144709623857</v>
      </c>
      <c r="K63" s="41">
        <v>0.0030108811940159</v>
      </c>
      <c r="L63" s="41">
        <v>0.0049126322634359</v>
      </c>
      <c r="M63" s="41">
        <v>7.083443088666E-4</v>
      </c>
      <c r="O63" s="41">
        <v>8261.0</v>
      </c>
      <c r="P63" s="41">
        <v>358.754564038001</v>
      </c>
      <c r="Q63" s="41">
        <v>0.0042398579165253</v>
      </c>
      <c r="R63" s="41">
        <v>0.0042312897270063</v>
      </c>
      <c r="S63" s="41">
        <v>0.006913974142286</v>
      </c>
      <c r="T63" s="41">
        <v>9.954569873722E-4</v>
      </c>
    </row>
    <row r="64">
      <c r="A64" s="41">
        <v>6041.0</v>
      </c>
      <c r="B64" s="41">
        <v>280.027838127</v>
      </c>
      <c r="C64" s="41">
        <v>0.0044370602618116</v>
      </c>
      <c r="D64" s="41">
        <v>0.0033023544793791</v>
      </c>
      <c r="E64" s="41">
        <v>0.005345588165356</v>
      </c>
      <c r="F64" s="41">
        <v>7.769097008499E-4</v>
      </c>
      <c r="H64" s="41">
        <v>8130.0</v>
      </c>
      <c r="I64" s="41">
        <v>325.011820878</v>
      </c>
      <c r="J64" s="41">
        <v>0.003837843451863</v>
      </c>
      <c r="K64" s="41">
        <v>0.0038328918546318</v>
      </c>
      <c r="L64" s="41">
        <v>0.0062549708373059</v>
      </c>
      <c r="M64" s="41">
        <v>9.017003920139E-4</v>
      </c>
      <c r="O64" s="41">
        <v>8951.0</v>
      </c>
      <c r="P64" s="41">
        <v>435.271677845001</v>
      </c>
      <c r="Q64" s="41">
        <v>0.0051429975407597</v>
      </c>
      <c r="R64" s="41">
        <v>0.0051333260613028</v>
      </c>
      <c r="S64" s="41">
        <v>0.0083858308753259</v>
      </c>
      <c r="T64" s="41">
        <v>0.0012076803155138</v>
      </c>
    </row>
    <row r="65">
      <c r="A65" s="41">
        <v>5906.0</v>
      </c>
      <c r="B65" s="41">
        <v>248.217251628</v>
      </c>
      <c r="C65" s="41">
        <v>0.0039304867593908</v>
      </c>
      <c r="D65" s="41">
        <v>0.0029271814557444</v>
      </c>
      <c r="E65" s="41">
        <v>0.0047330048975119</v>
      </c>
      <c r="F65" s="41">
        <v>6.886426388499E-4</v>
      </c>
      <c r="H65" s="41">
        <v>8209.0</v>
      </c>
      <c r="I65" s="41">
        <v>310.193811462999</v>
      </c>
      <c r="J65" s="41">
        <v>0.0036619128211884</v>
      </c>
      <c r="K65" s="41">
        <v>0.003658195777052</v>
      </c>
      <c r="L65" s="41">
        <v>0.005966953662448</v>
      </c>
      <c r="M65" s="41">
        <v>8.606409428166E-4</v>
      </c>
      <c r="O65" s="41">
        <v>9204.0</v>
      </c>
      <c r="P65" s="41">
        <v>431.151427108998</v>
      </c>
      <c r="Q65" s="41">
        <v>0.0050964340173825</v>
      </c>
      <c r="R65" s="41">
        <v>0.0050848326596297</v>
      </c>
      <c r="S65" s="41">
        <v>0.0083123799832319</v>
      </c>
      <c r="T65" s="41">
        <v>0.0011962911932666</v>
      </c>
    </row>
    <row r="66">
      <c r="A66" s="41">
        <v>5692.0</v>
      </c>
      <c r="B66" s="41">
        <v>248.562608787</v>
      </c>
      <c r="C66" s="41">
        <v>0.0039327099567202</v>
      </c>
      <c r="D66" s="41">
        <v>0.0029314478284209</v>
      </c>
      <c r="E66" s="41">
        <v>0.0047324612859659</v>
      </c>
      <c r="F66" s="41">
        <v>6.896422175861E-4</v>
      </c>
      <c r="H66" s="41">
        <v>7280.0</v>
      </c>
      <c r="I66" s="41">
        <v>266.958363636</v>
      </c>
      <c r="J66" s="41">
        <v>0.0031469027733356</v>
      </c>
      <c r="K66" s="41">
        <v>0.0031480682888223</v>
      </c>
      <c r="L66" s="41">
        <v>0.0051223929868</v>
      </c>
      <c r="M66" s="41">
        <v>7.406114740611E-4</v>
      </c>
      <c r="O66" s="41">
        <v>8694.0</v>
      </c>
      <c r="P66" s="41">
        <v>410.231150805</v>
      </c>
      <c r="Q66" s="41">
        <v>0.0048483249032999</v>
      </c>
      <c r="R66" s="41">
        <v>0.0048383356262951</v>
      </c>
      <c r="S66" s="41">
        <v>0.0079064249362459</v>
      </c>
      <c r="T66" s="41">
        <v>0.0011382893962694</v>
      </c>
    </row>
    <row r="67">
      <c r="A67" s="41">
        <v>5934.0</v>
      </c>
      <c r="B67" s="41">
        <v>275.362231061</v>
      </c>
      <c r="C67" s="41">
        <v>0.0043612733932991</v>
      </c>
      <c r="D67" s="41">
        <v>0.0032476933164306</v>
      </c>
      <c r="E67" s="41">
        <v>0.0052521419794879</v>
      </c>
      <c r="F67" s="41">
        <v>7.640365798694E-4</v>
      </c>
      <c r="H67" s="41">
        <v>8375.0</v>
      </c>
      <c r="I67" s="41">
        <v>342.016423892</v>
      </c>
      <c r="J67" s="41">
        <v>0.0040388065395692</v>
      </c>
      <c r="K67" s="41">
        <v>0.0040335633121721</v>
      </c>
      <c r="L67" s="41">
        <v>0.006582539154916</v>
      </c>
      <c r="M67" s="41">
        <v>9.489130962555E-4</v>
      </c>
      <c r="O67" s="41">
        <v>9516.0</v>
      </c>
      <c r="P67" s="41">
        <v>476.827835805001</v>
      </c>
      <c r="Q67" s="41">
        <v>0.0056364278085728</v>
      </c>
      <c r="R67" s="41">
        <v>0.0056238364087764</v>
      </c>
      <c r="S67" s="41">
        <v>0.0091928640209519</v>
      </c>
      <c r="T67" s="41">
        <v>0.0013230613264166</v>
      </c>
    </row>
    <row r="68">
      <c r="A68" s="41">
        <v>6247.0</v>
      </c>
      <c r="B68" s="41">
        <v>294.699936790999</v>
      </c>
      <c r="C68" s="41">
        <v>0.0046707052175754</v>
      </c>
      <c r="D68" s="41">
        <v>0.0034756789576819</v>
      </c>
      <c r="E68" s="41">
        <v>0.0056277881133379</v>
      </c>
      <c r="F68" s="41">
        <v>8.176754034861E-4</v>
      </c>
      <c r="H68" s="41">
        <v>7632.0</v>
      </c>
      <c r="I68" s="41">
        <v>285.692519688</v>
      </c>
      <c r="J68" s="41">
        <v>0.0033715007473315</v>
      </c>
      <c r="K68" s="41">
        <v>0.0033693435983916</v>
      </c>
      <c r="L68" s="41">
        <v>0.0054921721715119</v>
      </c>
      <c r="M68" s="41">
        <v>7.926873301221E-4</v>
      </c>
      <c r="O68" s="41">
        <v>8793.0</v>
      </c>
      <c r="P68" s="41">
        <v>415.868897596999</v>
      </c>
      <c r="Q68" s="41">
        <v>0.0049143519618849</v>
      </c>
      <c r="R68" s="41">
        <v>0.0049045020806229</v>
      </c>
      <c r="S68" s="41">
        <v>0.00801378002213</v>
      </c>
      <c r="T68" s="41">
        <v>0.0011538345896722</v>
      </c>
    </row>
    <row r="69">
      <c r="A69" s="41">
        <v>7480.0</v>
      </c>
      <c r="B69" s="41">
        <v>391.493983546002</v>
      </c>
      <c r="C69" s="41">
        <v>0.0062140134039976</v>
      </c>
      <c r="D69" s="41">
        <v>0.0046173048166993</v>
      </c>
      <c r="E69" s="41">
        <v>0.0074957321076919</v>
      </c>
      <c r="F69" s="41">
        <v>0.0010862786923527</v>
      </c>
      <c r="H69" s="41">
        <v>8105.0</v>
      </c>
      <c r="I69" s="41">
        <v>305.594667689998</v>
      </c>
      <c r="J69" s="41">
        <v>0.0036078562697232</v>
      </c>
      <c r="K69" s="41">
        <v>0.0036038729759293</v>
      </c>
      <c r="L69" s="41">
        <v>0.0058792585922919</v>
      </c>
      <c r="M69" s="41">
        <v>8.478693105944E-4</v>
      </c>
      <c r="O69" s="41">
        <v>8335.0</v>
      </c>
      <c r="P69" s="41">
        <v>363.143207341003</v>
      </c>
      <c r="Q69" s="41">
        <v>0.0042900686706481</v>
      </c>
      <c r="R69" s="41">
        <v>0.0042834202633083</v>
      </c>
      <c r="S69" s="41">
        <v>0.0069933617057959</v>
      </c>
      <c r="T69" s="41">
        <v>0.0010077160522222</v>
      </c>
    </row>
    <row r="70">
      <c r="A70" s="41">
        <v>6338.0</v>
      </c>
      <c r="B70" s="41">
        <v>310.402428675999</v>
      </c>
      <c r="C70" s="41">
        <v>0.004921486986256</v>
      </c>
      <c r="D70" s="41">
        <v>0.0036612228573194</v>
      </c>
      <c r="E70" s="41">
        <v>0.0059312736339039</v>
      </c>
      <c r="F70" s="41">
        <v>8.613367743278E-4</v>
      </c>
      <c r="H70" s="41">
        <v>7493.0</v>
      </c>
      <c r="I70" s="41">
        <v>285.430004557001</v>
      </c>
      <c r="J70" s="41">
        <v>0.0033679333640642</v>
      </c>
      <c r="K70" s="41">
        <v>0.0033663420061416</v>
      </c>
      <c r="L70" s="41">
        <v>0.0054857071663399</v>
      </c>
      <c r="M70" s="41">
        <v>7.919388200361E-4</v>
      </c>
      <c r="O70" s="41">
        <v>8458.0</v>
      </c>
      <c r="P70" s="41">
        <v>399.829833202002</v>
      </c>
      <c r="Q70" s="41">
        <v>0.0047241940751508</v>
      </c>
      <c r="R70" s="41">
        <v>0.0047151964997876</v>
      </c>
      <c r="S70" s="41">
        <v>0.0077031142180419</v>
      </c>
      <c r="T70" s="41">
        <v>0.001109293902025</v>
      </c>
    </row>
    <row r="71">
      <c r="A71" s="41">
        <v>6914.0</v>
      </c>
      <c r="B71" s="41">
        <v>342.707138614001</v>
      </c>
      <c r="C71" s="41">
        <v>0.0054349189652063</v>
      </c>
      <c r="D71" s="41">
        <v>0.0040419862951478</v>
      </c>
      <c r="E71" s="41">
        <v>0.0065515599634659</v>
      </c>
      <c r="F71" s="41">
        <v>9.508785936139E-4</v>
      </c>
      <c r="H71" s="41">
        <v>7884.0</v>
      </c>
      <c r="I71" s="41">
        <v>291.166297612002</v>
      </c>
      <c r="J71" s="41">
        <v>0.0034363500571206</v>
      </c>
      <c r="K71" s="41">
        <v>0.0034335963569229</v>
      </c>
      <c r="L71" s="41">
        <v>0.0055985164232539</v>
      </c>
      <c r="M71" s="41">
        <v>8.077846009777E-4</v>
      </c>
      <c r="O71" s="41">
        <v>8704.0</v>
      </c>
      <c r="P71" s="41">
        <v>392.432245669999</v>
      </c>
      <c r="Q71" s="41">
        <v>0.0046375545504546</v>
      </c>
      <c r="R71" s="41">
        <v>0.0046282921591853</v>
      </c>
      <c r="S71" s="41">
        <v>0.00756236577211</v>
      </c>
      <c r="T71" s="41">
        <v>0.0010888567041305</v>
      </c>
    </row>
    <row r="72">
      <c r="A72" s="41">
        <v>6746.0</v>
      </c>
      <c r="B72" s="41">
        <v>350.78730177</v>
      </c>
      <c r="C72" s="41">
        <v>0.0055587751147875</v>
      </c>
      <c r="D72" s="41">
        <v>0.0041361949996242</v>
      </c>
      <c r="E72" s="41">
        <v>0.0066982650808299</v>
      </c>
      <c r="F72" s="41">
        <v>9.730502051499E-4</v>
      </c>
      <c r="H72" s="41">
        <v>8170.0</v>
      </c>
      <c r="I72" s="41">
        <v>336.570302235999</v>
      </c>
      <c r="J72" s="41">
        <v>0.0039644220003142</v>
      </c>
      <c r="K72" s="41">
        <v>0.0039694503785583</v>
      </c>
      <c r="L72" s="41">
        <v>0.0064487154367459</v>
      </c>
      <c r="M72" s="41">
        <v>9.338515898638E-4</v>
      </c>
      <c r="O72" s="41">
        <v>8737.0</v>
      </c>
      <c r="P72" s="41">
        <v>418.785671669</v>
      </c>
      <c r="Q72" s="41">
        <v>0.0049491756963396</v>
      </c>
      <c r="R72" s="41">
        <v>0.0049392381910471</v>
      </c>
      <c r="S72" s="41">
        <v>0.0080705775675679</v>
      </c>
      <c r="T72" s="41">
        <v>0.0011620177751583</v>
      </c>
    </row>
    <row r="73">
      <c r="A73" s="41">
        <v>6837.0</v>
      </c>
      <c r="B73" s="41">
        <v>340.106983572</v>
      </c>
      <c r="C73" s="41">
        <v>0.0053932695508624</v>
      </c>
      <c r="D73" s="41">
        <v>0.0040109104890895</v>
      </c>
      <c r="E73" s="41">
        <v>0.0065014446455959</v>
      </c>
      <c r="F73" s="41">
        <v>9.436013269166E-4</v>
      </c>
      <c r="H73" s="41">
        <v>8009.0</v>
      </c>
      <c r="I73" s="41">
        <v>303.545912102999</v>
      </c>
      <c r="J73" s="41">
        <v>0.0035846115572873</v>
      </c>
      <c r="K73" s="41">
        <v>0.0035796282947104</v>
      </c>
      <c r="L73" s="41">
        <v>0.0058426463407799</v>
      </c>
      <c r="M73" s="41">
        <v>8.421656248722E-4</v>
      </c>
      <c r="O73" s="41">
        <v>8017.0</v>
      </c>
      <c r="P73" s="41">
        <v>340.063067826999</v>
      </c>
      <c r="Q73" s="41">
        <v>0.0040171674819413</v>
      </c>
      <c r="R73" s="41">
        <v>0.0040103713115291</v>
      </c>
      <c r="S73" s="41">
        <v>0.0065491821837859</v>
      </c>
      <c r="T73" s="41">
        <v>9.434991995944E-4</v>
      </c>
    </row>
    <row r="74">
      <c r="A74" s="41">
        <v>5954.0</v>
      </c>
      <c r="B74" s="41">
        <v>260.615025052</v>
      </c>
      <c r="C74" s="41">
        <v>0.0041241701146718</v>
      </c>
      <c r="D74" s="41">
        <v>0.0030733346021035</v>
      </c>
      <c r="E74" s="41">
        <v>0.004963865359978</v>
      </c>
      <c r="F74" s="41">
        <v>7.230358889833E-4</v>
      </c>
      <c r="H74" s="41">
        <v>7505.0</v>
      </c>
      <c r="I74" s="41">
        <v>282.576714361999</v>
      </c>
      <c r="J74" s="41">
        <v>0.0033256207140167</v>
      </c>
      <c r="K74" s="41">
        <v>0.0033326581611388</v>
      </c>
      <c r="L74" s="41">
        <v>0.0054061484915819</v>
      </c>
      <c r="M74" s="41">
        <v>7.840201869833E-4</v>
      </c>
      <c r="O74" s="41">
        <v>8056.0</v>
      </c>
      <c r="P74" s="41">
        <v>348.263974329998</v>
      </c>
      <c r="Q74" s="41">
        <v>0.0041143994092659</v>
      </c>
      <c r="R74" s="41">
        <v>0.0041069774521971</v>
      </c>
      <c r="S74" s="41">
        <v>0.006708275366616</v>
      </c>
      <c r="T74" s="41">
        <v>9.662209249249E-4</v>
      </c>
    </row>
    <row r="75">
      <c r="A75" s="41">
        <v>8546.0</v>
      </c>
      <c r="B75" s="41">
        <v>508.204401655999</v>
      </c>
      <c r="C75" s="41">
        <v>0.00807644691177</v>
      </c>
      <c r="D75" s="41">
        <v>0.0059940857156937</v>
      </c>
      <c r="E75" s="41">
        <v>0.0097510808564139</v>
      </c>
      <c r="F75" s="41">
        <v>0.0014101829451222</v>
      </c>
      <c r="H75" s="41">
        <v>8136.0</v>
      </c>
      <c r="I75" s="41">
        <v>346.072077364999</v>
      </c>
      <c r="J75" s="41">
        <v>0.0040667135282433</v>
      </c>
      <c r="K75" s="41">
        <v>0.0040813301500778</v>
      </c>
      <c r="L75" s="41">
        <v>0.006603414727172</v>
      </c>
      <c r="M75" s="41">
        <v>9.601816090805E-4</v>
      </c>
      <c r="O75" s="41">
        <v>9244.0</v>
      </c>
      <c r="P75" s="41">
        <v>455.591300521999</v>
      </c>
      <c r="Q75" s="41">
        <v>0.0053842527424968</v>
      </c>
      <c r="R75" s="41">
        <v>0.0053725830807214</v>
      </c>
      <c r="S75" s="41">
        <v>0.00878110980266</v>
      </c>
      <c r="T75" s="41">
        <v>0.0012639722495944</v>
      </c>
    </row>
    <row r="76">
      <c r="A76" s="41">
        <v>6376.0</v>
      </c>
      <c r="B76" s="41">
        <v>329.854860542</v>
      </c>
      <c r="C76" s="41">
        <v>0.005069911539569</v>
      </c>
      <c r="D76" s="41">
        <v>0.0038889713867027</v>
      </c>
      <c r="E76" s="41">
        <v>0.0059652689388779</v>
      </c>
      <c r="F76" s="41">
        <v>9.148646326888E-4</v>
      </c>
      <c r="H76" s="41">
        <v>7307.0</v>
      </c>
      <c r="I76" s="41">
        <v>283.005374045998</v>
      </c>
      <c r="J76" s="41">
        <v>0.003321757420166</v>
      </c>
      <c r="K76" s="41">
        <v>0.0033380698803047</v>
      </c>
      <c r="L76" s="41">
        <v>0.0053883515329</v>
      </c>
      <c r="M76" s="41">
        <v>7.853429868722E-4</v>
      </c>
      <c r="O76" s="41">
        <v>8405.0</v>
      </c>
      <c r="P76" s="41">
        <v>381.718636339999</v>
      </c>
      <c r="Q76" s="41">
        <v>0.0045115189899923</v>
      </c>
      <c r="R76" s="41">
        <v>0.0045014948798035</v>
      </c>
      <c r="S76" s="41">
        <v>0.0073580700531179</v>
      </c>
      <c r="T76" s="41">
        <v>0.0010590502130139</v>
      </c>
    </row>
    <row r="77">
      <c r="A77" s="41">
        <v>7060.0</v>
      </c>
      <c r="B77" s="41">
        <v>352.697465050998</v>
      </c>
      <c r="C77" s="41">
        <v>0.0056013119276501</v>
      </c>
      <c r="D77" s="41">
        <v>0.0041597638131888</v>
      </c>
      <c r="E77" s="41">
        <v>0.00675944846311</v>
      </c>
      <c r="F77" s="41">
        <v>9.786513416527E-4</v>
      </c>
      <c r="H77" s="41">
        <v>8251.0</v>
      </c>
      <c r="I77" s="41">
        <v>347.894544784001</v>
      </c>
      <c r="J77" s="41">
        <v>0.0040891182935286</v>
      </c>
      <c r="K77" s="41">
        <v>0.004103101387739</v>
      </c>
      <c r="L77" s="41">
        <v>0.006640687812546</v>
      </c>
      <c r="M77" s="41">
        <v>9.652927380778E-4</v>
      </c>
      <c r="O77" s="41">
        <v>9330.0</v>
      </c>
      <c r="P77" s="41">
        <v>453.535961657999</v>
      </c>
      <c r="Q77" s="41">
        <v>0.0053613852994215</v>
      </c>
      <c r="R77" s="41">
        <v>0.0053489343131582</v>
      </c>
      <c r="S77" s="41">
        <v>0.008744838384754</v>
      </c>
      <c r="T77" s="41">
        <v>0.0012584121174333</v>
      </c>
    </row>
    <row r="78">
      <c r="A78" s="41">
        <v>6065.0</v>
      </c>
      <c r="B78" s="41">
        <v>259.105256331</v>
      </c>
      <c r="C78" s="41">
        <v>0.0041107083344524</v>
      </c>
      <c r="D78" s="41">
        <v>0.0030555770288368</v>
      </c>
      <c r="E78" s="41">
        <v>0.004957198687978</v>
      </c>
      <c r="F78" s="41">
        <v>7.188656858111E-4</v>
      </c>
      <c r="H78" s="41">
        <v>8761.0</v>
      </c>
      <c r="I78" s="41">
        <v>376.273036063001</v>
      </c>
      <c r="J78" s="41">
        <v>0.004422513711867</v>
      </c>
      <c r="K78" s="41">
        <v>0.004436886342439</v>
      </c>
      <c r="L78" s="41">
        <v>0.007183043524208</v>
      </c>
      <c r="M78" s="41">
        <v>0.0010438210225694</v>
      </c>
      <c r="O78" s="41">
        <v>8487.0</v>
      </c>
      <c r="P78" s="41">
        <v>378.306382465001</v>
      </c>
      <c r="Q78" s="41">
        <v>0.0044705447017866</v>
      </c>
      <c r="R78" s="41">
        <v>0.0044618364280915</v>
      </c>
      <c r="S78" s="41">
        <v>0.007289731387336</v>
      </c>
      <c r="T78" s="41">
        <v>0.0010497185413832</v>
      </c>
    </row>
    <row r="79">
      <c r="A79" s="41">
        <v>5603.0</v>
      </c>
      <c r="B79" s="41">
        <v>227.597492855999</v>
      </c>
      <c r="C79" s="41">
        <v>0.0036073342645148</v>
      </c>
      <c r="D79" s="41">
        <v>0.0026840461285047</v>
      </c>
      <c r="E79" s="41">
        <v>0.004346912088638</v>
      </c>
      <c r="F79" s="41">
        <v>6.314558133444E-4</v>
      </c>
      <c r="H79" s="41">
        <v>7595.0</v>
      </c>
      <c r="I79" s="41">
        <v>303.013823987999</v>
      </c>
      <c r="J79" s="41">
        <v>0.0035576384541249</v>
      </c>
      <c r="K79" s="41">
        <v>0.00357332908267</v>
      </c>
      <c r="L79" s="41">
        <v>0.0057732576741579</v>
      </c>
      <c r="M79" s="41">
        <v>8.406167369777E-4</v>
      </c>
      <c r="O79" s="41">
        <v>9295.0</v>
      </c>
      <c r="P79" s="41">
        <v>456.732133950001</v>
      </c>
      <c r="Q79" s="41">
        <v>0.0053995588676062</v>
      </c>
      <c r="R79" s="41">
        <v>0.0053865843691333</v>
      </c>
      <c r="S79" s="41">
        <v>0.008807638157216</v>
      </c>
      <c r="T79" s="41">
        <v>0.0012672712905139</v>
      </c>
    </row>
    <row r="80">
      <c r="A80" s="41">
        <v>6346.0</v>
      </c>
      <c r="B80" s="41">
        <v>284.517127412</v>
      </c>
      <c r="C80" s="41">
        <v>0.0045095344273736</v>
      </c>
      <c r="D80" s="41">
        <v>0.0033556834475986</v>
      </c>
      <c r="E80" s="41">
        <v>0.0054336865691679</v>
      </c>
      <c r="F80" s="41">
        <v>7.894262171111E-4</v>
      </c>
      <c r="H80" s="41">
        <v>7918.0</v>
      </c>
      <c r="I80" s="41">
        <v>315.249833702997</v>
      </c>
      <c r="J80" s="41">
        <v>0.003703587184939</v>
      </c>
      <c r="K80" s="41">
        <v>0.0037178256239611</v>
      </c>
      <c r="L80" s="41">
        <v>0.006012676199026</v>
      </c>
      <c r="M80" s="41">
        <v>8.74621996236E-4</v>
      </c>
      <c r="O80" s="41">
        <v>9048.0</v>
      </c>
      <c r="P80" s="41">
        <v>422.576194299999</v>
      </c>
      <c r="Q80" s="41">
        <v>0.00499398236429</v>
      </c>
      <c r="R80" s="41">
        <v>0.0049834219155306</v>
      </c>
      <c r="S80" s="41">
        <v>0.0081442995709899</v>
      </c>
      <c r="T80" s="41">
        <v>0.0011724147542805</v>
      </c>
    </row>
    <row r="81">
      <c r="A81" s="41">
        <v>6687.0</v>
      </c>
      <c r="B81" s="41">
        <v>315.898020279</v>
      </c>
      <c r="C81" s="41">
        <v>0.0050074193369871</v>
      </c>
      <c r="D81" s="41">
        <v>0.0037255891916347</v>
      </c>
      <c r="E81" s="41">
        <v>0.006034294827432</v>
      </c>
      <c r="F81" s="41">
        <v>8.764799468944E-4</v>
      </c>
      <c r="H81" s="41">
        <v>8009.0</v>
      </c>
      <c r="I81" s="41">
        <v>328.140253907</v>
      </c>
      <c r="J81" s="41">
        <v>0.0038556457788303</v>
      </c>
      <c r="K81" s="41">
        <v>0.0038699653621944</v>
      </c>
      <c r="L81" s="41">
        <v>0.006260137508106</v>
      </c>
      <c r="M81" s="41">
        <v>9.104367054499E-4</v>
      </c>
      <c r="O81" s="41">
        <v>8656.0</v>
      </c>
      <c r="P81" s="41">
        <v>395.137246588001</v>
      </c>
      <c r="Q81" s="41">
        <v>0.0046686411380072</v>
      </c>
      <c r="R81" s="41">
        <v>0.0046599227646234</v>
      </c>
      <c r="S81" s="41">
        <v>0.0076123230342979</v>
      </c>
      <c r="T81" s="41">
        <v>0.0010962844566721</v>
      </c>
    </row>
    <row r="82">
      <c r="A82" s="41">
        <v>5791.0</v>
      </c>
      <c r="B82" s="41">
        <v>256.042705846</v>
      </c>
      <c r="C82" s="41">
        <v>0.0040589742040835</v>
      </c>
      <c r="D82" s="41">
        <v>0.0030196557828798</v>
      </c>
      <c r="E82" s="41">
        <v>0.0048917169689259</v>
      </c>
      <c r="F82" s="41">
        <v>7.103791043221E-4</v>
      </c>
      <c r="H82" s="41">
        <v>7642.0</v>
      </c>
      <c r="I82" s="41">
        <v>318.698904893</v>
      </c>
      <c r="J82" s="41">
        <v>0.0037411440081691</v>
      </c>
      <c r="K82" s="41">
        <v>0.0037588223755624</v>
      </c>
      <c r="L82" s="41">
        <v>0.0060695659667599</v>
      </c>
      <c r="M82" s="41">
        <v>8.842784455749E-4</v>
      </c>
      <c r="O82" s="41">
        <v>7857.0</v>
      </c>
      <c r="P82" s="41">
        <v>350.281977488</v>
      </c>
      <c r="Q82" s="41">
        <v>0.004137837052478</v>
      </c>
      <c r="R82" s="41">
        <v>0.0041310219111584</v>
      </c>
      <c r="S82" s="41">
        <v>0.006745690674326</v>
      </c>
      <c r="T82" s="41">
        <v>9.71874228875E-4</v>
      </c>
    </row>
    <row r="83">
      <c r="A83" s="41">
        <v>5585.0</v>
      </c>
      <c r="B83" s="41">
        <v>239.197032793999</v>
      </c>
      <c r="C83" s="41">
        <v>0.0037588226615748</v>
      </c>
      <c r="D83" s="41">
        <v>0.0028206193039637</v>
      </c>
      <c r="E83" s="41">
        <v>0.0044999785999799</v>
      </c>
      <c r="F83" s="41">
        <v>6.635957937361E-4</v>
      </c>
      <c r="H83" s="41">
        <v>7601.0</v>
      </c>
      <c r="I83" s="41">
        <v>309.955413906001</v>
      </c>
      <c r="J83" s="41">
        <v>0.0036416793013134</v>
      </c>
      <c r="K83" s="41">
        <v>0.0036553112194959</v>
      </c>
      <c r="L83" s="41">
        <v>0.0059126002856319</v>
      </c>
      <c r="M83" s="41">
        <v>8.599407288861E-4</v>
      </c>
      <c r="O83" s="41">
        <v>7654.0</v>
      </c>
      <c r="P83" s="41">
        <v>329.272506755998</v>
      </c>
      <c r="Q83" s="41">
        <v>0.003889922568821</v>
      </c>
      <c r="R83" s="41">
        <v>0.0038839007917091</v>
      </c>
      <c r="S83" s="41">
        <v>0.0063410597950659</v>
      </c>
      <c r="T83" s="41">
        <v>9.137296693361E-4</v>
      </c>
    </row>
    <row r="84">
      <c r="A84" s="41">
        <v>5496.0</v>
      </c>
      <c r="B84" s="41">
        <v>222.179283649998</v>
      </c>
      <c r="C84" s="41">
        <v>0.0035210506302156</v>
      </c>
      <c r="D84" s="41">
        <v>0.0026205928880132</v>
      </c>
      <c r="E84" s="41">
        <v>0.004242037560294</v>
      </c>
      <c r="F84" s="41">
        <v>6.165067130083E-4</v>
      </c>
      <c r="H84" s="41">
        <v>8020.0</v>
      </c>
      <c r="I84" s="41">
        <v>340.922188171</v>
      </c>
      <c r="J84" s="41">
        <v>0.0040044681322791</v>
      </c>
      <c r="K84" s="41">
        <v>0.0040207803591951</v>
      </c>
      <c r="L84" s="41">
        <v>0.006499990755544</v>
      </c>
      <c r="M84" s="41">
        <v>9.459173287389E-4</v>
      </c>
      <c r="O84" s="41">
        <v>8147.0</v>
      </c>
      <c r="P84" s="41">
        <v>366.809272172999</v>
      </c>
      <c r="Q84" s="41">
        <v>0.0043331568826841</v>
      </c>
      <c r="R84" s="41">
        <v>0.0043260732788916</v>
      </c>
      <c r="S84" s="41">
        <v>0.0070640253734379</v>
      </c>
      <c r="T84" s="41">
        <v>0.0010177813230249</v>
      </c>
    </row>
    <row r="85">
      <c r="A85" s="41">
        <v>6375.0</v>
      </c>
      <c r="B85" s="41">
        <v>284.741400883998</v>
      </c>
      <c r="C85" s="41">
        <v>0.0045193972238194</v>
      </c>
      <c r="D85" s="41">
        <v>0.0033582613451772</v>
      </c>
      <c r="E85" s="41">
        <v>0.0054514382500359</v>
      </c>
      <c r="F85" s="41">
        <v>7.90046410525E-4</v>
      </c>
      <c r="H85" s="41">
        <v>8133.0</v>
      </c>
      <c r="I85" s="41">
        <v>335.753056352998</v>
      </c>
      <c r="J85" s="41">
        <v>0.0039405364674904</v>
      </c>
      <c r="K85" s="41">
        <v>0.0039598100470923</v>
      </c>
      <c r="L85" s="41">
        <v>0.0063922681693659</v>
      </c>
      <c r="M85" s="41">
        <v>9.315435980472E-4</v>
      </c>
      <c r="O85" s="41">
        <v>8387.0</v>
      </c>
      <c r="P85" s="41">
        <v>367.653731590999</v>
      </c>
      <c r="Q85" s="41">
        <v>0.0043454533571396</v>
      </c>
      <c r="R85" s="41">
        <v>0.0043362277157395</v>
      </c>
      <c r="S85" s="41">
        <v>0.0070867184471479</v>
      </c>
      <c r="T85" s="41">
        <v>0.0010201444414138</v>
      </c>
    </row>
    <row r="86">
      <c r="A86" s="41">
        <v>5661.0</v>
      </c>
      <c r="B86" s="41">
        <v>204.293598946002</v>
      </c>
      <c r="C86" s="41">
        <v>0.0032361214989642</v>
      </c>
      <c r="D86" s="41">
        <v>0.0024090501454403</v>
      </c>
      <c r="E86" s="41">
        <v>0.003898097840698</v>
      </c>
      <c r="F86" s="41">
        <v>5.667652583166E-4</v>
      </c>
      <c r="H86" s="41">
        <v>7879.0</v>
      </c>
      <c r="I86" s="41">
        <v>300.408716358</v>
      </c>
      <c r="J86" s="41">
        <v>0.0035266186412224</v>
      </c>
      <c r="K86" s="41">
        <v>0.003542083836679</v>
      </c>
      <c r="L86" s="41">
        <v>0.005723002633954</v>
      </c>
      <c r="M86" s="41">
        <v>8.332926104472E-4</v>
      </c>
      <c r="O86" s="41">
        <v>8506.0</v>
      </c>
      <c r="P86" s="41">
        <v>358.767148304999</v>
      </c>
      <c r="Q86" s="41">
        <v>0.0042392408599562</v>
      </c>
      <c r="R86" s="41">
        <v>0.0042310760820091</v>
      </c>
      <c r="S86" s="41">
        <v>0.0069124716410839</v>
      </c>
      <c r="T86" s="41">
        <v>9.954062084277E-4</v>
      </c>
    </row>
    <row r="87">
      <c r="A87" s="41">
        <v>7271.0</v>
      </c>
      <c r="B87" s="41">
        <v>355.795672012998</v>
      </c>
      <c r="C87" s="41">
        <v>0.0056512428727606</v>
      </c>
      <c r="D87" s="41">
        <v>0.0041958559451526</v>
      </c>
      <c r="E87" s="41">
        <v>0.0068209685123259</v>
      </c>
      <c r="F87" s="41">
        <v>9.870985235138E-4</v>
      </c>
      <c r="H87" s="41">
        <v>8551.0</v>
      </c>
      <c r="I87" s="41">
        <v>357.145697862997</v>
      </c>
      <c r="J87" s="41">
        <v>0.0041910722170423</v>
      </c>
      <c r="K87" s="41">
        <v>0.0042120467820098</v>
      </c>
      <c r="L87" s="41">
        <v>0.0067980704384519</v>
      </c>
      <c r="M87" s="41">
        <v>9.909070777611E-4</v>
      </c>
      <c r="O87" s="41">
        <v>8763.0</v>
      </c>
      <c r="P87" s="41">
        <v>390.232100238001</v>
      </c>
      <c r="Q87" s="41">
        <v>0.0046116008023547</v>
      </c>
      <c r="R87" s="41">
        <v>0.0046027073487236</v>
      </c>
      <c r="S87" s="41">
        <v>0.0075196362934818</v>
      </c>
      <c r="T87" s="41">
        <v>0.0010828531228889</v>
      </c>
    </row>
    <row r="88">
      <c r="A88" s="41">
        <v>6138.0</v>
      </c>
      <c r="B88" s="41">
        <v>267.014033966999</v>
      </c>
      <c r="C88" s="41">
        <v>0.00423582970614</v>
      </c>
      <c r="D88" s="41">
        <v>0.0031493424752658</v>
      </c>
      <c r="E88" s="41">
        <v>0.0051071418634879</v>
      </c>
      <c r="F88" s="41">
        <v>7.409299819416E-4</v>
      </c>
      <c r="H88" s="41">
        <v>7634.0</v>
      </c>
      <c r="I88" s="41">
        <v>299.006171058001</v>
      </c>
      <c r="J88" s="41">
        <v>0.0035102139593838</v>
      </c>
      <c r="K88" s="41">
        <v>0.0035267724506104</v>
      </c>
      <c r="L88" s="41">
        <v>0.005694930111496</v>
      </c>
      <c r="M88" s="41">
        <v>8.297021469861E-4</v>
      </c>
      <c r="O88" s="41">
        <v>8340.0</v>
      </c>
      <c r="P88" s="41">
        <v>369.358233943996</v>
      </c>
      <c r="Q88" s="41">
        <v>0.0043640906909719</v>
      </c>
      <c r="R88" s="41">
        <v>0.0043562945681442</v>
      </c>
      <c r="S88" s="41">
        <v>0.0071152756922159</v>
      </c>
      <c r="T88" s="41">
        <v>0.0010248878557833</v>
      </c>
    </row>
    <row r="89">
      <c r="A89" s="41">
        <v>6800.0</v>
      </c>
      <c r="B89" s="41">
        <v>326.596577160999</v>
      </c>
      <c r="C89" s="41">
        <v>0.0051874209695591</v>
      </c>
      <c r="D89" s="41">
        <v>0.0038521950797868</v>
      </c>
      <c r="E89" s="41">
        <v>0.006260239174854</v>
      </c>
      <c r="F89" s="41">
        <v>9.062749374055E-4</v>
      </c>
      <c r="H89" s="41">
        <v>8231.0</v>
      </c>
      <c r="I89" s="41">
        <v>347.950255882999</v>
      </c>
      <c r="J89" s="41">
        <v>0.0040808186739796</v>
      </c>
      <c r="K89" s="41">
        <v>0.004103614852929</v>
      </c>
      <c r="L89" s="41">
        <v>0.0066162786263519</v>
      </c>
      <c r="M89" s="41">
        <v>9.654227183082E-4</v>
      </c>
      <c r="O89" s="41">
        <v>8157.0</v>
      </c>
      <c r="P89" s="41">
        <v>358.52561602</v>
      </c>
      <c r="Q89" s="41">
        <v>0.0042354543427497</v>
      </c>
      <c r="R89" s="41">
        <v>0.00422855930904</v>
      </c>
      <c r="S89" s="41">
        <v>0.0069047724682579</v>
      </c>
      <c r="T89" s="41">
        <v>9.947795624833E-4</v>
      </c>
    </row>
    <row r="90">
      <c r="A90" s="41">
        <v>5300.0</v>
      </c>
      <c r="B90" s="41">
        <v>206.872095683</v>
      </c>
      <c r="C90" s="41">
        <v>0.0032739348984926</v>
      </c>
      <c r="D90" s="41">
        <v>0.0024400080241159</v>
      </c>
      <c r="E90" s="41">
        <v>0.003940198707712</v>
      </c>
      <c r="F90" s="41">
        <v>5.740267440889E-4</v>
      </c>
      <c r="H90" s="41">
        <v>6869.0</v>
      </c>
      <c r="I90" s="41">
        <v>255.924918747998</v>
      </c>
      <c r="J90" s="41">
        <v>0.0030032089374504</v>
      </c>
      <c r="K90" s="41">
        <v>0.0030179722877667</v>
      </c>
      <c r="L90" s="41">
        <v>0.004871645008424</v>
      </c>
      <c r="M90" s="41">
        <v>7.099919599861E-4</v>
      </c>
      <c r="O90" s="41">
        <v>7894.0</v>
      </c>
      <c r="P90" s="41">
        <v>350.122547560997</v>
      </c>
      <c r="Q90" s="41">
        <v>0.0041350055712588</v>
      </c>
      <c r="R90" s="41">
        <v>0.0041296269219</v>
      </c>
      <c r="S90" s="41">
        <v>0.006739302335882</v>
      </c>
      <c r="T90" s="41">
        <v>9.715496850944E-4</v>
      </c>
    </row>
    <row r="91">
      <c r="A91" s="41">
        <v>7152.0</v>
      </c>
      <c r="B91" s="41">
        <v>363.336568298</v>
      </c>
      <c r="C91" s="41">
        <v>0.0057733977313546</v>
      </c>
      <c r="D91" s="41">
        <v>0.0042853948775895</v>
      </c>
      <c r="E91" s="41">
        <v>0.0069698033536159</v>
      </c>
      <c r="F91" s="41">
        <v>0.0010081964354555</v>
      </c>
      <c r="H91" s="41">
        <v>8125.0</v>
      </c>
      <c r="I91" s="41">
        <v>344.218599297</v>
      </c>
      <c r="J91" s="41">
        <v>0.0040413009718438</v>
      </c>
      <c r="K91" s="41">
        <v>0.0040596993635241</v>
      </c>
      <c r="L91" s="41">
        <v>0.006557381357012</v>
      </c>
      <c r="M91" s="41">
        <v>9.550775835638E-4</v>
      </c>
      <c r="O91" s="41">
        <v>8343.0</v>
      </c>
      <c r="P91" s="41">
        <v>380.765809485004</v>
      </c>
      <c r="Q91" s="41">
        <v>0.0044999642790942</v>
      </c>
      <c r="R91" s="41">
        <v>0.0044903255442899</v>
      </c>
      <c r="S91" s="41">
        <v>0.0073388228154979</v>
      </c>
      <c r="T91" s="41">
        <v>0.0010563801775028</v>
      </c>
    </row>
    <row r="92">
      <c r="A92" s="41">
        <v>5514.0</v>
      </c>
      <c r="B92" s="41">
        <v>228.537774464999</v>
      </c>
      <c r="C92" s="41">
        <v>0.0036048719126884</v>
      </c>
      <c r="D92" s="41">
        <v>0.0026954605603736</v>
      </c>
      <c r="E92" s="41">
        <v>0.004327587073178</v>
      </c>
      <c r="F92" s="41">
        <v>6.341360640083E-4</v>
      </c>
      <c r="H92" s="41">
        <v>8054.0</v>
      </c>
      <c r="I92" s="41">
        <v>341.151431010999</v>
      </c>
      <c r="J92" s="41">
        <v>0.004003720405299</v>
      </c>
      <c r="K92" s="41">
        <v>0.0040232315143833</v>
      </c>
      <c r="L92" s="41">
        <v>0.0064947982513899</v>
      </c>
      <c r="M92" s="41">
        <v>9.465175813E-4</v>
      </c>
      <c r="O92" s="41">
        <v>8081.0</v>
      </c>
      <c r="P92" s="41">
        <v>366.843281068002</v>
      </c>
      <c r="Q92" s="41">
        <v>0.0043345761641997</v>
      </c>
      <c r="R92" s="41">
        <v>0.0043260789070606</v>
      </c>
      <c r="S92" s="41">
        <v>0.007068100654476</v>
      </c>
      <c r="T92" s="41">
        <v>0.0010177644888499</v>
      </c>
    </row>
    <row r="93">
      <c r="A93" s="41">
        <v>5572.0</v>
      </c>
      <c r="B93" s="41">
        <v>224.910774325999</v>
      </c>
      <c r="C93" s="41">
        <v>0.0035625901250796</v>
      </c>
      <c r="D93" s="41">
        <v>0.0026518604840103</v>
      </c>
      <c r="E93" s="41">
        <v>0.004291641211088</v>
      </c>
      <c r="F93" s="41">
        <v>6.238703745805E-4</v>
      </c>
      <c r="H93" s="41">
        <v>7462.0</v>
      </c>
      <c r="I93" s="41">
        <v>294.863850749003</v>
      </c>
      <c r="J93" s="41">
        <v>0.0034626891810253</v>
      </c>
      <c r="K93" s="41">
        <v>0.0034784698937472</v>
      </c>
      <c r="L93" s="41">
        <v>0.005618528661486</v>
      </c>
      <c r="M93" s="41">
        <v>8.183202096639E-4</v>
      </c>
      <c r="O93" s="41">
        <v>10111.0</v>
      </c>
      <c r="P93" s="41">
        <v>523.627944981002</v>
      </c>
      <c r="Q93" s="41">
        <v>0.0061916128495335</v>
      </c>
      <c r="R93" s="41">
        <v>0.0061752349433953</v>
      </c>
      <c r="S93" s="41">
        <v>0.0101015036367518</v>
      </c>
      <c r="T93" s="41">
        <v>0.0014527808374111</v>
      </c>
    </row>
    <row r="94">
      <c r="A94" s="41">
        <v>5888.0</v>
      </c>
      <c r="B94" s="41">
        <v>234.108037939</v>
      </c>
      <c r="C94" s="41">
        <v>0.0037106772396179</v>
      </c>
      <c r="D94" s="41">
        <v>0.0027605074775764</v>
      </c>
      <c r="E94" s="41">
        <v>0.00447198135536</v>
      </c>
      <c r="F94" s="41">
        <v>6.494381687138E-4</v>
      </c>
      <c r="H94" s="41">
        <v>8214.0</v>
      </c>
      <c r="I94" s="41">
        <v>336.947319589999</v>
      </c>
      <c r="J94" s="41">
        <v>0.003955652102299</v>
      </c>
      <c r="K94" s="41">
        <v>0.003973535637284</v>
      </c>
      <c r="L94" s="41">
        <v>0.0064185601348439</v>
      </c>
      <c r="M94" s="41">
        <v>9.348092623333E-4</v>
      </c>
      <c r="O94" s="41">
        <v>8757.0</v>
      </c>
      <c r="P94" s="41">
        <v>391.254515631</v>
      </c>
      <c r="Q94" s="41">
        <v>0.0046234118726146</v>
      </c>
      <c r="R94" s="41">
        <v>0.0046140168994937</v>
      </c>
      <c r="S94" s="41">
        <v>0.0075395160316079</v>
      </c>
      <c r="T94" s="41">
        <v>0.0010854845208805</v>
      </c>
    </row>
    <row r="95">
      <c r="A95" s="41">
        <v>5847.0</v>
      </c>
      <c r="B95" s="41">
        <v>233.624062347</v>
      </c>
      <c r="C95" s="41">
        <v>0.0037024247455092</v>
      </c>
      <c r="D95" s="41">
        <v>0.0027553569411451</v>
      </c>
      <c r="E95" s="41">
        <v>0.0044608230131</v>
      </c>
      <c r="F95" s="41">
        <v>6.482177523611E-4</v>
      </c>
      <c r="H95" s="41">
        <v>7903.0</v>
      </c>
      <c r="I95" s="41">
        <v>314.751396248</v>
      </c>
      <c r="J95" s="41">
        <v>0.0036935700519145</v>
      </c>
      <c r="K95" s="41">
        <v>0.0037117226683027</v>
      </c>
      <c r="L95" s="41">
        <v>0.0059914895154099</v>
      </c>
      <c r="M95" s="41">
        <v>8.73227840386E-4</v>
      </c>
      <c r="O95" s="41">
        <v>9376.0</v>
      </c>
      <c r="P95" s="41">
        <v>443.481264587004</v>
      </c>
      <c r="Q95" s="41">
        <v>0.0052430075535614</v>
      </c>
      <c r="R95" s="41">
        <v>0.0052306740573207</v>
      </c>
      <c r="S95" s="41">
        <v>0.00855193878599</v>
      </c>
      <c r="T95" s="41">
        <v>0.0012306004318499</v>
      </c>
    </row>
    <row r="96">
      <c r="A96" s="41">
        <v>8439.0</v>
      </c>
      <c r="B96" s="41">
        <v>449.705374514</v>
      </c>
      <c r="C96" s="41">
        <v>0.0071509332402031</v>
      </c>
      <c r="D96" s="41">
        <v>0.0053038950173972</v>
      </c>
      <c r="E96" s="41">
        <v>0.0086377769102159</v>
      </c>
      <c r="F96" s="41">
        <v>0.0012477746756055</v>
      </c>
      <c r="H96" s="41">
        <v>7950.0</v>
      </c>
      <c r="I96" s="41">
        <v>292.674943199999</v>
      </c>
      <c r="J96" s="41">
        <v>0.0034505484540887</v>
      </c>
      <c r="K96" s="41">
        <v>0.0034522958201243</v>
      </c>
      <c r="L96" s="41">
        <v>0.005616059215066</v>
      </c>
      <c r="M96" s="41">
        <v>8.121990796555E-4</v>
      </c>
      <c r="O96" s="41">
        <v>8972.0</v>
      </c>
      <c r="P96" s="41">
        <v>404.489020253</v>
      </c>
      <c r="Q96" s="41">
        <v>0.0047779897593674</v>
      </c>
      <c r="R96" s="41">
        <v>0.0047705447936338</v>
      </c>
      <c r="S96" s="41">
        <v>0.007788835953286</v>
      </c>
      <c r="T96" s="41">
        <v>0.0011222663899777</v>
      </c>
    </row>
    <row r="97">
      <c r="A97" s="41">
        <v>5897.0</v>
      </c>
      <c r="B97" s="41">
        <v>250.487408135999</v>
      </c>
      <c r="C97" s="41">
        <v>0.0039718454623806</v>
      </c>
      <c r="D97" s="41">
        <v>0.0029536946016749</v>
      </c>
      <c r="E97" s="41">
        <v>0.0047881149415999</v>
      </c>
      <c r="F97" s="41">
        <v>6.948703334E-4</v>
      </c>
      <c r="H97" s="41">
        <v>8397.0</v>
      </c>
      <c r="I97" s="41">
        <v>334.345226353001</v>
      </c>
      <c r="J97" s="41">
        <v>0.0039483344728282</v>
      </c>
      <c r="K97" s="41">
        <v>0.003943392418359</v>
      </c>
      <c r="L97" s="41">
        <v>0.0064348418145359</v>
      </c>
      <c r="M97" s="41">
        <v>9.27716963375E-4</v>
      </c>
      <c r="O97" s="41">
        <v>8796.0</v>
      </c>
      <c r="P97" s="41">
        <v>409.289191504001</v>
      </c>
      <c r="Q97" s="41">
        <v>0.0048355173540154</v>
      </c>
      <c r="R97" s="41">
        <v>0.0048263790931731</v>
      </c>
      <c r="S97" s="41">
        <v>0.0078845760298781</v>
      </c>
      <c r="T97" s="41">
        <v>0.0011354207575749</v>
      </c>
    </row>
    <row r="98">
      <c r="A98" s="41">
        <v>6627.0</v>
      </c>
      <c r="B98" s="41">
        <v>308.325290553002</v>
      </c>
      <c r="C98" s="41">
        <v>0.0048937362628917</v>
      </c>
      <c r="D98" s="41">
        <v>0.0036365396380562</v>
      </c>
      <c r="E98" s="41">
        <v>0.005902871111182</v>
      </c>
      <c r="F98" s="41">
        <v>8.554766253944E-4</v>
      </c>
      <c r="H98" s="41">
        <v>7755.0</v>
      </c>
      <c r="I98" s="41">
        <v>289.456646225</v>
      </c>
      <c r="J98" s="41">
        <v>0.0034166483909924</v>
      </c>
      <c r="K98" s="41">
        <v>0.0034138326114722</v>
      </c>
      <c r="L98" s="41">
        <v>0.005566498619862</v>
      </c>
      <c r="M98" s="41">
        <v>8.031509506361E-4</v>
      </c>
      <c r="O98" s="41">
        <v>7964.0</v>
      </c>
      <c r="P98" s="41">
        <v>340.478682678993</v>
      </c>
      <c r="Q98" s="41">
        <v>0.0040208312215863</v>
      </c>
      <c r="R98" s="41">
        <v>0.004015949271452</v>
      </c>
      <c r="S98" s="41">
        <v>0.0065527882977819</v>
      </c>
      <c r="T98" s="41">
        <v>9.448061471194E-4</v>
      </c>
    </row>
    <row r="99">
      <c r="A99" s="41">
        <v>5412.0</v>
      </c>
      <c r="B99" s="41">
        <v>204.582233078999</v>
      </c>
      <c r="C99" s="41">
        <v>0.0032389346033307</v>
      </c>
      <c r="D99" s="41">
        <v>0.0024124057640124</v>
      </c>
      <c r="E99" s="41">
        <v>0.003899926175494</v>
      </c>
      <c r="F99" s="41">
        <v>5.675566786694E-4</v>
      </c>
      <c r="H99" s="41">
        <v>7770.0</v>
      </c>
      <c r="I99" s="41">
        <v>290.242050005999</v>
      </c>
      <c r="J99" s="41">
        <v>0.0034262192873139</v>
      </c>
      <c r="K99" s="41">
        <v>0.0034227228474285</v>
      </c>
      <c r="L99" s="41">
        <v>0.0055829547441379</v>
      </c>
      <c r="M99" s="41">
        <v>8.052105985472E-4</v>
      </c>
      <c r="O99" s="41">
        <v>8291.0</v>
      </c>
      <c r="P99" s="41">
        <v>366.498202129994</v>
      </c>
      <c r="Q99" s="41">
        <v>0.0043313382410067</v>
      </c>
      <c r="R99" s="41">
        <v>0.0043229386987349</v>
      </c>
      <c r="S99" s="41">
        <v>0.0070627303724019</v>
      </c>
      <c r="T99" s="41">
        <v>0.0010170032719389</v>
      </c>
    </row>
    <row r="100">
      <c r="A100" s="41">
        <v>2391.0</v>
      </c>
      <c r="B100" s="41">
        <v>94.0670302119979</v>
      </c>
      <c r="C100" s="41">
        <v>0.00148880681783851</v>
      </c>
      <c r="D100" s="41">
        <v>0.00110936723451454</v>
      </c>
      <c r="E100" s="41">
        <v>0.00179206671143006</v>
      </c>
      <c r="F100" s="41">
        <v>2.60971701324979E-4</v>
      </c>
      <c r="H100" s="41">
        <v>3237.0</v>
      </c>
      <c r="I100" s="41">
        <v>116.944404458998</v>
      </c>
      <c r="J100" s="41">
        <v>0.00138097406541535</v>
      </c>
      <c r="K100" s="41">
        <v>0.00137929028837913</v>
      </c>
      <c r="L100" s="41">
        <v>0.00225061763382605</v>
      </c>
      <c r="M100" s="41">
        <v>3.24474740749994E-4</v>
      </c>
      <c r="O100" s="41">
        <v>3769.0</v>
      </c>
      <c r="P100" s="41">
        <v>171.035536923998</v>
      </c>
      <c r="Q100" s="41">
        <v>0.00202170780574904</v>
      </c>
      <c r="R100" s="41">
        <v>0.00201684221641389</v>
      </c>
      <c r="S100" s="41">
        <v>0.00329778180488993</v>
      </c>
      <c r="T100" s="41">
        <v>4.74482738069451E-4</v>
      </c>
    </row>
    <row r="101">
      <c r="A101" s="44">
        <f t="shared" ref="A101:F101" si="1">SUM(A2:A100)</f>
        <v>615733</v>
      </c>
      <c r="B101" s="44">
        <f t="shared" si="1"/>
        <v>28276.4407</v>
      </c>
      <c r="C101" s="44">
        <f t="shared" si="1"/>
        <v>0.4448127266</v>
      </c>
      <c r="D101" s="44">
        <f t="shared" si="1"/>
        <v>0.333486162</v>
      </c>
      <c r="E101" s="44">
        <f t="shared" si="1"/>
        <v>0.5401789741</v>
      </c>
      <c r="F101" s="44">
        <f t="shared" si="1"/>
        <v>0.07845540244</v>
      </c>
      <c r="H101" s="44">
        <f t="shared" ref="H101:M101" si="2">SUM(H2:H100)</f>
        <v>765580</v>
      </c>
      <c r="I101" s="44">
        <f t="shared" si="2"/>
        <v>30071.06332</v>
      </c>
      <c r="J101" s="44">
        <f t="shared" si="2"/>
        <v>0.3540933769</v>
      </c>
      <c r="K101" s="44">
        <f t="shared" si="2"/>
        <v>0.3546491471</v>
      </c>
      <c r="L101" s="44">
        <f t="shared" si="2"/>
        <v>0.5758535996</v>
      </c>
      <c r="M101" s="44">
        <f t="shared" si="2"/>
        <v>0.08343426032</v>
      </c>
      <c r="O101" s="44">
        <f t="shared" ref="O101:T101" si="3">SUM(O2:O100)</f>
        <v>822022</v>
      </c>
      <c r="P101" s="44">
        <f t="shared" si="3"/>
        <v>37046.15637</v>
      </c>
      <c r="Q101" s="44">
        <f t="shared" si="3"/>
        <v>0.4377502453</v>
      </c>
      <c r="R101" s="44">
        <f t="shared" si="3"/>
        <v>0.4369255067</v>
      </c>
      <c r="S101" s="44">
        <f t="shared" si="3"/>
        <v>0.7137689641</v>
      </c>
      <c r="T101" s="44">
        <f t="shared" si="3"/>
        <v>0.1027917636</v>
      </c>
    </row>
  </sheetData>
  <mergeCells count="3">
    <mergeCell ref="A1:F1"/>
    <mergeCell ref="H1:M1"/>
    <mergeCell ref="O1:T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8" max="8" width="15.13"/>
    <col customWidth="1" min="15" max="15" width="15.13"/>
  </cols>
  <sheetData>
    <row r="1">
      <c r="A1" s="40" t="s">
        <v>9</v>
      </c>
      <c r="H1" s="40" t="s">
        <v>8</v>
      </c>
      <c r="O1" s="40" t="s">
        <v>10</v>
      </c>
    </row>
    <row r="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15</v>
      </c>
      <c r="T2" s="20" t="s">
        <v>16</v>
      </c>
    </row>
    <row r="3">
      <c r="A3" s="41">
        <v>7127.0</v>
      </c>
      <c r="B3" s="41">
        <v>268.515557095</v>
      </c>
      <c r="C3" s="41">
        <v>0.0042358955880945</v>
      </c>
      <c r="D3" s="41">
        <v>0.0031669802198534</v>
      </c>
      <c r="E3" s="41">
        <v>0.0050855104572939</v>
      </c>
      <c r="F3" s="41">
        <v>7.450635847833E-4</v>
      </c>
      <c r="H3" s="41">
        <v>8614.0</v>
      </c>
      <c r="I3" s="41">
        <v>268.521833939</v>
      </c>
      <c r="J3" s="41">
        <v>0.0031538407401076</v>
      </c>
      <c r="K3" s="41">
        <v>0.0031671385116229</v>
      </c>
      <c r="L3" s="41">
        <v>0.00511867353938</v>
      </c>
      <c r="M3" s="41">
        <v>7.451273827888E-4</v>
      </c>
      <c r="O3" s="41">
        <v>8703.0</v>
      </c>
      <c r="P3" s="41">
        <v>309.320412964999</v>
      </c>
      <c r="Q3" s="41">
        <v>0.0014468904943299</v>
      </c>
      <c r="R3" s="41">
        <v>0.0036487545910708</v>
      </c>
      <c r="S3" s="41">
        <v>0.0059208941811559</v>
      </c>
      <c r="T3" s="41">
        <v>8.584040803833E-4</v>
      </c>
    </row>
    <row r="4">
      <c r="A4" s="41">
        <v>7556.0</v>
      </c>
      <c r="B4" s="41">
        <v>307.896265467</v>
      </c>
      <c r="C4" s="41">
        <v>0.0048823419170395</v>
      </c>
      <c r="D4" s="41">
        <v>0.0036313870735131</v>
      </c>
      <c r="E4" s="41">
        <v>0.0058849747079759</v>
      </c>
      <c r="F4" s="41">
        <v>8.543226252111E-4</v>
      </c>
      <c r="H4" s="41">
        <v>8131.0</v>
      </c>
      <c r="I4" s="41">
        <v>231.951784421999</v>
      </c>
      <c r="J4" s="41">
        <v>0.002732958989639</v>
      </c>
      <c r="K4" s="41">
        <v>0.0027357817280083</v>
      </c>
      <c r="L4" s="41">
        <v>0.00444634244596</v>
      </c>
      <c r="M4" s="41">
        <v>6.436315138805E-4</v>
      </c>
      <c r="O4" s="41">
        <v>8767.0</v>
      </c>
      <c r="P4" s="41">
        <v>308.446252841</v>
      </c>
      <c r="Q4" s="41">
        <v>0.0014466537007318</v>
      </c>
      <c r="R4" s="41">
        <v>0.0036385094929868</v>
      </c>
      <c r="S4" s="41">
        <v>0.005931871967716</v>
      </c>
      <c r="T4" s="41">
        <v>8.559647692111E-4</v>
      </c>
    </row>
    <row r="5">
      <c r="A5" s="41">
        <v>7387.0</v>
      </c>
      <c r="B5" s="41">
        <v>285.130970453999</v>
      </c>
      <c r="C5" s="41">
        <v>0.0045225443810675</v>
      </c>
      <c r="D5" s="41">
        <v>0.0033627244256444</v>
      </c>
      <c r="E5" s="41">
        <v>0.005452592973182</v>
      </c>
      <c r="F5" s="41">
        <v>7.911135493333E-4</v>
      </c>
      <c r="H5" s="41">
        <v>8921.0</v>
      </c>
      <c r="I5" s="41">
        <v>285.709300287999</v>
      </c>
      <c r="J5" s="41">
        <v>0.0033658130852111</v>
      </c>
      <c r="K5" s="41">
        <v>0.0033697427585097</v>
      </c>
      <c r="L5" s="41">
        <v>0.005475426047004</v>
      </c>
      <c r="M5" s="41">
        <v>7.927478246611E-4</v>
      </c>
      <c r="O5" s="41">
        <v>9748.0</v>
      </c>
      <c r="P5" s="41">
        <v>387.092155628</v>
      </c>
      <c r="Q5" s="41">
        <v>0.0018167404751854</v>
      </c>
      <c r="R5" s="41">
        <v>0.0045658753525583</v>
      </c>
      <c r="S5" s="41">
        <v>0.0074535815184159</v>
      </c>
      <c r="T5" s="41">
        <v>0.0010741848171499</v>
      </c>
    </row>
    <row r="6">
      <c r="A6" s="41">
        <v>7620.0</v>
      </c>
      <c r="B6" s="41">
        <v>286.522937474999</v>
      </c>
      <c r="C6" s="41">
        <v>0.00454712444669</v>
      </c>
      <c r="D6" s="41">
        <v>0.0033791517148875</v>
      </c>
      <c r="E6" s="41">
        <v>0.0054845035542659</v>
      </c>
      <c r="F6" s="41">
        <v>7.949867096138E-4</v>
      </c>
      <c r="H6" s="41">
        <v>9078.0</v>
      </c>
      <c r="I6" s="41">
        <v>277.320100124</v>
      </c>
      <c r="J6" s="41">
        <v>0.0032699186274639</v>
      </c>
      <c r="K6" s="41">
        <v>0.0032712057249513</v>
      </c>
      <c r="L6" s="41">
        <v>0.005322535646914</v>
      </c>
      <c r="M6" s="41">
        <v>7.695840181944E-4</v>
      </c>
      <c r="O6" s="41">
        <v>9546.0</v>
      </c>
      <c r="P6" s="41">
        <v>348.933353796999</v>
      </c>
      <c r="Q6" s="41">
        <v>0.0016376435900852</v>
      </c>
      <c r="R6" s="41">
        <v>0.004115695878527</v>
      </c>
      <c r="S6" s="41">
        <v>0.006718892319554</v>
      </c>
      <c r="T6" s="41">
        <v>9.682634883944E-4</v>
      </c>
    </row>
    <row r="7">
      <c r="A7" s="41">
        <v>6931.0</v>
      </c>
      <c r="B7" s="41">
        <v>257.576311823</v>
      </c>
      <c r="C7" s="41">
        <v>0.0040831664160867</v>
      </c>
      <c r="D7" s="41">
        <v>0.0030377383497034</v>
      </c>
      <c r="E7" s="41">
        <v>0.0049207089365639</v>
      </c>
      <c r="F7" s="41">
        <v>7.146917524972E-4</v>
      </c>
      <c r="H7" s="41">
        <v>8161.0</v>
      </c>
      <c r="I7" s="41">
        <v>243.065882314</v>
      </c>
      <c r="J7" s="41">
        <v>0.0028657121296582</v>
      </c>
      <c r="K7" s="41">
        <v>0.0028668413902138</v>
      </c>
      <c r="L7" s="41">
        <v>0.0046645901205579</v>
      </c>
      <c r="M7" s="41">
        <v>6.744592777222E-4</v>
      </c>
      <c r="O7" s="41">
        <v>9210.0</v>
      </c>
      <c r="P7" s="41">
        <v>354.977029608</v>
      </c>
      <c r="Q7" s="41">
        <v>0.0016664469677173</v>
      </c>
      <c r="R7" s="41">
        <v>0.0041872782560736</v>
      </c>
      <c r="S7" s="41">
        <v>0.0068380751926779</v>
      </c>
      <c r="T7" s="41">
        <v>9.850904124305E-4</v>
      </c>
    </row>
    <row r="8">
      <c r="A8" s="41">
        <v>6804.0</v>
      </c>
      <c r="B8" s="41">
        <v>242.835295177999</v>
      </c>
      <c r="C8" s="41">
        <v>0.003848177920807</v>
      </c>
      <c r="D8" s="41">
        <v>0.0028639288510354</v>
      </c>
      <c r="E8" s="41">
        <v>0.004636310097934</v>
      </c>
      <c r="F8" s="41">
        <v>6.737561205361E-4</v>
      </c>
      <c r="H8" s="41">
        <v>9182.0</v>
      </c>
      <c r="I8" s="41">
        <v>308.591451446</v>
      </c>
      <c r="J8" s="41">
        <v>0.0036407532566581</v>
      </c>
      <c r="K8" s="41">
        <v>0.0036400265159659</v>
      </c>
      <c r="L8" s="41">
        <v>0.0059288100208219</v>
      </c>
      <c r="M8" s="41">
        <v>8.563639928805E-4</v>
      </c>
      <c r="O8" s="41">
        <v>8746.0</v>
      </c>
      <c r="P8" s="41">
        <v>313.457865982999</v>
      </c>
      <c r="Q8" s="41">
        <v>0.0014704983352747</v>
      </c>
      <c r="R8" s="41">
        <v>0.0036973824970388</v>
      </c>
      <c r="S8" s="41">
        <v>0.00603097426922</v>
      </c>
      <c r="T8" s="41">
        <v>8.698429040083E-4</v>
      </c>
    </row>
    <row r="9">
      <c r="A9" s="41">
        <v>7091.0</v>
      </c>
      <c r="B9" s="41">
        <v>254.192420145</v>
      </c>
      <c r="C9" s="41">
        <v>0.0040310576413456</v>
      </c>
      <c r="D9" s="41">
        <v>0.0029974702148201</v>
      </c>
      <c r="E9" s="41">
        <v>0.00485976361003</v>
      </c>
      <c r="F9" s="41">
        <v>7.052198774833E-4</v>
      </c>
      <c r="H9" s="41">
        <v>8856.0</v>
      </c>
      <c r="I9" s="41">
        <v>274.677563691</v>
      </c>
      <c r="J9" s="41">
        <v>0.0032403786582897</v>
      </c>
      <c r="K9" s="41">
        <v>0.0032398267708791</v>
      </c>
      <c r="L9" s="41">
        <v>0.005276693665796</v>
      </c>
      <c r="M9" s="41">
        <v>7.622180339833E-4</v>
      </c>
      <c r="O9" s="41">
        <v>8946.0</v>
      </c>
      <c r="P9" s="41">
        <v>314.313872120999</v>
      </c>
      <c r="Q9" s="41">
        <v>0.0014750868163278</v>
      </c>
      <c r="R9" s="41">
        <v>0.0037072553324166</v>
      </c>
      <c r="S9" s="41">
        <v>0.006051825119234</v>
      </c>
      <c r="T9" s="41">
        <v>8.721893943638E-4</v>
      </c>
    </row>
    <row r="10">
      <c r="A10" s="41">
        <v>6846.0</v>
      </c>
      <c r="B10" s="41">
        <v>235.916177382999</v>
      </c>
      <c r="C10" s="41">
        <v>0.0037383271336177</v>
      </c>
      <c r="D10" s="41">
        <v>0.0027817375585937</v>
      </c>
      <c r="E10" s="41">
        <v>0.0045044933258139</v>
      </c>
      <c r="F10" s="41">
        <v>6.544278344027E-4</v>
      </c>
      <c r="H10" s="41">
        <v>8757.0</v>
      </c>
      <c r="I10" s="41">
        <v>272.509403347</v>
      </c>
      <c r="J10" s="41">
        <v>0.0032150661311805</v>
      </c>
      <c r="K10" s="41">
        <v>0.0032141900155833</v>
      </c>
      <c r="L10" s="41">
        <v>0.005235895299824</v>
      </c>
      <c r="M10" s="41">
        <v>7.561714042444E-4</v>
      </c>
      <c r="O10" s="41">
        <v>8593.0</v>
      </c>
      <c r="P10" s="41">
        <v>289.738139332</v>
      </c>
      <c r="Q10" s="41">
        <v>0.0013596364137607</v>
      </c>
      <c r="R10" s="41">
        <v>0.0034170233103291</v>
      </c>
      <c r="S10" s="41">
        <v>0.005578271962614</v>
      </c>
      <c r="T10" s="41">
        <v>8.038985420638E-4</v>
      </c>
    </row>
    <row r="11">
      <c r="A11" s="41">
        <v>7183.0</v>
      </c>
      <c r="B11" s="41">
        <v>287.347204235999</v>
      </c>
      <c r="C11" s="41">
        <v>0.0045589281731116</v>
      </c>
      <c r="D11" s="41">
        <v>0.0033885830431826</v>
      </c>
      <c r="E11" s="41">
        <v>0.005497930231674</v>
      </c>
      <c r="F11" s="41">
        <v>7.972012456583E-4</v>
      </c>
      <c r="H11" s="41">
        <v>7620.0</v>
      </c>
      <c r="I11" s="41">
        <v>213.640277295</v>
      </c>
      <c r="J11" s="41">
        <v>0.0025167482095829</v>
      </c>
      <c r="K11" s="41">
        <v>0.0025195397148069</v>
      </c>
      <c r="L11" s="41">
        <v>0.004094350219922</v>
      </c>
      <c r="M11" s="41">
        <v>5.927519104999E-4</v>
      </c>
      <c r="O11" s="41">
        <v>8462.0</v>
      </c>
      <c r="P11" s="41">
        <v>301.460960949</v>
      </c>
      <c r="Q11" s="41">
        <v>0.0014147324299022</v>
      </c>
      <c r="R11" s="41">
        <v>0.0035558271465256</v>
      </c>
      <c r="S11" s="41">
        <v>0.0058038996431159</v>
      </c>
      <c r="T11" s="41">
        <v>8.365559346805E-4</v>
      </c>
    </row>
    <row r="12">
      <c r="A12" s="41">
        <v>6806.0</v>
      </c>
      <c r="B12" s="41">
        <v>249.579356588999</v>
      </c>
      <c r="C12" s="41">
        <v>0.0039577005920709</v>
      </c>
      <c r="D12" s="41">
        <v>0.0029431136556875</v>
      </c>
      <c r="E12" s="41">
        <v>0.0047711463169139</v>
      </c>
      <c r="F12" s="41">
        <v>6.923744897111E-4</v>
      </c>
      <c r="H12" s="41">
        <v>8426.0</v>
      </c>
      <c r="I12" s="41">
        <v>265.293463893</v>
      </c>
      <c r="J12" s="41">
        <v>0.0031293321871328</v>
      </c>
      <c r="K12" s="41">
        <v>0.0031287382316937</v>
      </c>
      <c r="L12" s="41">
        <v>0.0050959446323079</v>
      </c>
      <c r="M12" s="41">
        <v>7.36076977425E-4</v>
      </c>
      <c r="O12" s="41">
        <v>9563.0</v>
      </c>
      <c r="P12" s="41">
        <v>392.517296155</v>
      </c>
      <c r="Q12" s="41">
        <v>0.0018423067584773</v>
      </c>
      <c r="R12" s="41">
        <v>0.004629970591675</v>
      </c>
      <c r="S12" s="41">
        <v>0.0075587085469619</v>
      </c>
      <c r="T12" s="41">
        <v>0.0010892242848833</v>
      </c>
    </row>
    <row r="13">
      <c r="A13" s="41">
        <v>7011.0</v>
      </c>
      <c r="B13" s="41">
        <v>255.926483401</v>
      </c>
      <c r="C13" s="41">
        <v>0.0040587577246998</v>
      </c>
      <c r="D13" s="41">
        <v>0.0030177988709673</v>
      </c>
      <c r="E13" s="41">
        <v>0.004893519470368</v>
      </c>
      <c r="F13" s="41">
        <v>7.099736864138E-4</v>
      </c>
      <c r="H13" s="41">
        <v>8287.0</v>
      </c>
      <c r="I13" s="41">
        <v>243.411485492999</v>
      </c>
      <c r="J13" s="41">
        <v>0.0028682520503778</v>
      </c>
      <c r="K13" s="41">
        <v>0.0028714311331479</v>
      </c>
      <c r="L13" s="41">
        <v>0.0046661898440599</v>
      </c>
      <c r="M13" s="41">
        <v>6.75542807E-4</v>
      </c>
      <c r="O13" s="41">
        <v>9873.0</v>
      </c>
      <c r="P13" s="41">
        <v>403.512682578</v>
      </c>
      <c r="Q13" s="41">
        <v>0.0018935061160757</v>
      </c>
      <c r="R13" s="41">
        <v>0.0047589710323583</v>
      </c>
      <c r="S13" s="41">
        <v>0.0077683253813219</v>
      </c>
      <c r="T13" s="41">
        <v>0.001119611857925</v>
      </c>
    </row>
    <row r="14">
      <c r="A14" s="41">
        <v>6580.0</v>
      </c>
      <c r="B14" s="41">
        <v>232.638770052</v>
      </c>
      <c r="C14" s="41">
        <v>0.0036875822987726</v>
      </c>
      <c r="D14" s="41">
        <v>0.0027435623573541</v>
      </c>
      <c r="E14" s="41">
        <v>0.004443865221756</v>
      </c>
      <c r="F14" s="41">
        <v>6.454429764805E-4</v>
      </c>
      <c r="H14" s="41">
        <v>8584.0</v>
      </c>
      <c r="I14" s="41">
        <v>278.192084405999</v>
      </c>
      <c r="J14" s="41">
        <v>0.0032783235791219</v>
      </c>
      <c r="K14" s="41">
        <v>0.0032812491012243</v>
      </c>
      <c r="L14" s="41">
        <v>0.005334184545122</v>
      </c>
      <c r="M14" s="41">
        <v>7.719591001916E-4</v>
      </c>
      <c r="O14" s="41">
        <v>8650.0</v>
      </c>
      <c r="P14" s="41">
        <v>317.093106599999</v>
      </c>
      <c r="Q14" s="41">
        <v>0.0014872763322349</v>
      </c>
      <c r="R14" s="41">
        <v>0.0037400296354625</v>
      </c>
      <c r="S14" s="41">
        <v>0.006099210712698</v>
      </c>
      <c r="T14" s="41">
        <v>8.798819764111E-4</v>
      </c>
    </row>
    <row r="15">
      <c r="A15" s="41">
        <v>7917.0</v>
      </c>
      <c r="B15" s="41">
        <v>309.246982541999</v>
      </c>
      <c r="C15" s="41">
        <v>0.0049097228594939</v>
      </c>
      <c r="D15" s="41">
        <v>0.0036466303661527</v>
      </c>
      <c r="E15" s="41">
        <v>0.005924303906106</v>
      </c>
      <c r="F15" s="41">
        <v>8.579105660083E-4</v>
      </c>
      <c r="H15" s="41">
        <v>9450.0</v>
      </c>
      <c r="I15" s="41">
        <v>300.578478082999</v>
      </c>
      <c r="J15" s="41">
        <v>0.0035439801252696</v>
      </c>
      <c r="K15" s="41">
        <v>0.0035452442718645</v>
      </c>
      <c r="L15" s="41">
        <v>0.0057687912816959</v>
      </c>
      <c r="M15" s="41">
        <v>8.340576772916E-4</v>
      </c>
      <c r="O15" s="41">
        <v>9483.0</v>
      </c>
      <c r="P15" s="41">
        <v>341.438966517</v>
      </c>
      <c r="Q15" s="41">
        <v>0.0016017366141803</v>
      </c>
      <c r="R15" s="41">
        <v>0.0040271364951805</v>
      </c>
      <c r="S15" s="41">
        <v>0.0065695205333899</v>
      </c>
      <c r="T15" s="41">
        <v>9.474053134583E-4</v>
      </c>
    </row>
    <row r="16">
      <c r="A16" s="41">
        <v>6620.0</v>
      </c>
      <c r="B16" s="41">
        <v>221.944075116</v>
      </c>
      <c r="C16" s="41">
        <v>0.0035121589402829</v>
      </c>
      <c r="D16" s="41">
        <v>0.0026169636202875</v>
      </c>
      <c r="E16" s="41">
        <v>0.00422762421543</v>
      </c>
      <c r="F16" s="41">
        <v>6.156623013583E-4</v>
      </c>
      <c r="H16" s="41">
        <v>8556.0</v>
      </c>
      <c r="I16" s="41">
        <v>263.175968747999</v>
      </c>
      <c r="J16" s="41">
        <v>0.0030997228551773</v>
      </c>
      <c r="K16" s="41">
        <v>0.0031043248671249</v>
      </c>
      <c r="L16" s="41">
        <v>0.005041325977502</v>
      </c>
      <c r="M16" s="41">
        <v>7.30323458911E-4</v>
      </c>
      <c r="O16" s="41">
        <v>8830.0</v>
      </c>
      <c r="P16" s="41">
        <v>313.912783767</v>
      </c>
      <c r="Q16" s="41">
        <v>0.0014725637619049</v>
      </c>
      <c r="R16" s="41">
        <v>0.0037026111180472</v>
      </c>
      <c r="S16" s="41">
        <v>0.0060393951092899</v>
      </c>
      <c r="T16" s="41">
        <v>8.710794195444E-4</v>
      </c>
    </row>
    <row r="17">
      <c r="A17" s="41">
        <v>7637.0</v>
      </c>
      <c r="B17" s="41">
        <v>298.797646122999</v>
      </c>
      <c r="C17" s="41">
        <v>0.0047417055696175</v>
      </c>
      <c r="D17" s="41">
        <v>0.0035236680039451</v>
      </c>
      <c r="E17" s="41">
        <v>0.005719327631014</v>
      </c>
      <c r="F17" s="41">
        <v>8.289601697694E-4</v>
      </c>
      <c r="H17" s="41">
        <v>8946.0</v>
      </c>
      <c r="I17" s="41">
        <v>275.138440793999</v>
      </c>
      <c r="J17" s="41">
        <v>0.0032444789906933</v>
      </c>
      <c r="K17" s="41">
        <v>0.0032451113121006</v>
      </c>
      <c r="L17" s="41">
        <v>0.0052819145033059</v>
      </c>
      <c r="M17" s="41">
        <v>7.634538484972E-4</v>
      </c>
      <c r="O17" s="41">
        <v>9697.0</v>
      </c>
      <c r="P17" s="41">
        <v>371.412726714</v>
      </c>
      <c r="Q17" s="41">
        <v>0.0017421175369109</v>
      </c>
      <c r="R17" s="41">
        <v>0.004380618316493</v>
      </c>
      <c r="S17" s="41">
        <v>0.0071446029378999</v>
      </c>
      <c r="T17" s="41">
        <v>0.0010305967716138</v>
      </c>
    </row>
    <row r="18">
      <c r="A18" s="41">
        <v>8985.0</v>
      </c>
      <c r="B18" s="41">
        <v>410.928672408999</v>
      </c>
      <c r="C18" s="41">
        <v>0.0065301818432218</v>
      </c>
      <c r="D18" s="41">
        <v>0.0048462875198742</v>
      </c>
      <c r="E18" s="41">
        <v>0.0078844857520279</v>
      </c>
      <c r="F18" s="41">
        <v>0.0011401223280277</v>
      </c>
      <c r="H18" s="41">
        <v>9386.0</v>
      </c>
      <c r="I18" s="41">
        <v>302.231871062999</v>
      </c>
      <c r="J18" s="41">
        <v>0.0035653112771169</v>
      </c>
      <c r="K18" s="41">
        <v>0.0035646215738701</v>
      </c>
      <c r="L18" s="41">
        <v>0.005805912700282</v>
      </c>
      <c r="M18" s="41">
        <v>8.386401450861E-4</v>
      </c>
      <c r="O18" s="41">
        <v>9068.0</v>
      </c>
      <c r="P18" s="41">
        <v>317.746719628</v>
      </c>
      <c r="Q18" s="41">
        <v>0.001490404199381</v>
      </c>
      <c r="R18" s="41">
        <v>0.0037476134342868</v>
      </c>
      <c r="S18" s="41">
        <v>0.006112383501014</v>
      </c>
      <c r="T18" s="41">
        <v>8.816686045611E-4</v>
      </c>
    </row>
    <row r="19">
      <c r="A19" s="41">
        <v>6786.0</v>
      </c>
      <c r="B19" s="41">
        <v>234.249265555999</v>
      </c>
      <c r="C19" s="41">
        <v>0.0037130985209831</v>
      </c>
      <c r="D19" s="41">
        <v>0.002762611976084</v>
      </c>
      <c r="E19" s="41">
        <v>0.004474527468508</v>
      </c>
      <c r="F19" s="41">
        <v>6.499306513611E-4</v>
      </c>
      <c r="H19" s="41">
        <v>8367.0</v>
      </c>
      <c r="I19" s="41">
        <v>251.020498081999</v>
      </c>
      <c r="J19" s="41">
        <v>0.0029579962611982</v>
      </c>
      <c r="K19" s="41">
        <v>0.0029608827204583</v>
      </c>
      <c r="L19" s="41">
        <v>0.004812669405688</v>
      </c>
      <c r="M19" s="41">
        <v>6.965918289833E-4</v>
      </c>
      <c r="O19" s="41">
        <v>9225.0</v>
      </c>
      <c r="P19" s="41">
        <v>351.642254637</v>
      </c>
      <c r="Q19" s="41">
        <v>0.0016490969302228</v>
      </c>
      <c r="R19" s="41">
        <v>0.0041474084728402</v>
      </c>
      <c r="S19" s="41">
        <v>0.0067622665209199</v>
      </c>
      <c r="T19" s="41">
        <v>9.757233932166E-4</v>
      </c>
    </row>
    <row r="20">
      <c r="A20" s="41">
        <v>6481.0</v>
      </c>
      <c r="B20" s="41">
        <v>214.205527206</v>
      </c>
      <c r="C20" s="41">
        <v>0.0033904941695763</v>
      </c>
      <c r="D20" s="41">
        <v>0.0025261016214368</v>
      </c>
      <c r="E20" s="41">
        <v>0.0040814185429099</v>
      </c>
      <c r="F20" s="41">
        <v>5.942992929749E-4</v>
      </c>
      <c r="H20" s="41">
        <v>8489.0</v>
      </c>
      <c r="I20" s="41">
        <v>259.316301263</v>
      </c>
      <c r="J20" s="41">
        <v>0.0030577980546063</v>
      </c>
      <c r="K20" s="41">
        <v>0.0030581915850736</v>
      </c>
      <c r="L20" s="41">
        <v>0.00497824981593</v>
      </c>
      <c r="M20" s="41">
        <v>7.194823464249E-4</v>
      </c>
      <c r="O20" s="41">
        <v>9496.0</v>
      </c>
      <c r="P20" s="41">
        <v>375.257285374</v>
      </c>
      <c r="Q20" s="41">
        <v>0.0017608687941687</v>
      </c>
      <c r="R20" s="41">
        <v>0.0044258014696541</v>
      </c>
      <c r="S20" s="41">
        <v>0.0072239596680519</v>
      </c>
      <c r="T20" s="41">
        <v>0.0010412012565194</v>
      </c>
    </row>
    <row r="21">
      <c r="A21" s="41">
        <v>7181.0</v>
      </c>
      <c r="B21" s="41">
        <v>254.76610427</v>
      </c>
      <c r="C21" s="41">
        <v>0.0040333896169264</v>
      </c>
      <c r="D21" s="41">
        <v>0.0030040038018701</v>
      </c>
      <c r="E21" s="41">
        <v>0.00485667610756</v>
      </c>
      <c r="F21" s="41">
        <v>7.067271909249E-4</v>
      </c>
      <c r="H21" s="41">
        <v>9313.0</v>
      </c>
      <c r="I21" s="41">
        <v>297.720947609</v>
      </c>
      <c r="J21" s="41">
        <v>0.003508006135151</v>
      </c>
      <c r="K21" s="41">
        <v>0.0035117703333465</v>
      </c>
      <c r="L21" s="41">
        <v>0.005707125121252</v>
      </c>
      <c r="M21" s="41">
        <v>8.26187208275E-4</v>
      </c>
      <c r="O21" s="41">
        <v>9643.0</v>
      </c>
      <c r="P21" s="41">
        <v>366.390181763999</v>
      </c>
      <c r="Q21" s="41">
        <v>0.0017194454607844</v>
      </c>
      <c r="R21" s="41">
        <v>0.0043218748598312</v>
      </c>
      <c r="S21" s="41">
        <v>0.0070537734207919</v>
      </c>
      <c r="T21" s="41">
        <v>0.0010167671872416</v>
      </c>
    </row>
    <row r="22">
      <c r="A22" s="41">
        <v>7239.0</v>
      </c>
      <c r="B22" s="41">
        <v>275.873808262</v>
      </c>
      <c r="C22" s="41">
        <v>0.0043758925682245</v>
      </c>
      <c r="D22" s="41">
        <v>0.0032534318619187</v>
      </c>
      <c r="E22" s="41">
        <v>0.005276086998644</v>
      </c>
      <c r="F22" s="41">
        <v>7.65405909925E-4</v>
      </c>
      <c r="H22" s="41">
        <v>8187.0</v>
      </c>
      <c r="I22" s="41">
        <v>236.141993832</v>
      </c>
      <c r="J22" s="41">
        <v>0.0027848224514909</v>
      </c>
      <c r="K22" s="41">
        <v>0.0027849984742625</v>
      </c>
      <c r="L22" s="41">
        <v>0.0045340552939079</v>
      </c>
      <c r="M22" s="41">
        <v>6.552115691527E-4</v>
      </c>
      <c r="O22" s="41">
        <v>9420.0</v>
      </c>
      <c r="P22" s="41">
        <v>370.106972310999</v>
      </c>
      <c r="Q22" s="41">
        <v>0.0017365393160523</v>
      </c>
      <c r="R22" s="41">
        <v>0.0043652281823632</v>
      </c>
      <c r="S22" s="41">
        <v>0.007123417365396</v>
      </c>
      <c r="T22" s="41">
        <v>0.001026969033575</v>
      </c>
    </row>
    <row r="23">
      <c r="A23" s="41">
        <v>6496.0</v>
      </c>
      <c r="B23" s="41">
        <v>216.608884012</v>
      </c>
      <c r="C23" s="41">
        <v>0.0034299973362499</v>
      </c>
      <c r="D23" s="41">
        <v>0.0025546248574493</v>
      </c>
      <c r="E23" s="41">
        <v>0.0041301049707479</v>
      </c>
      <c r="F23" s="41">
        <v>6.009991302611E-4</v>
      </c>
      <c r="H23" s="41">
        <v>9093.0</v>
      </c>
      <c r="I23" s="41">
        <v>300.485844786999</v>
      </c>
      <c r="J23" s="41">
        <v>0.0035472513533089</v>
      </c>
      <c r="K23" s="41">
        <v>0.0035443493353749</v>
      </c>
      <c r="L23" s="41">
        <v>0.00577926156785</v>
      </c>
      <c r="M23" s="41">
        <v>8.338494024833E-4</v>
      </c>
      <c r="O23" s="41">
        <v>9493.0</v>
      </c>
      <c r="P23" s="41">
        <v>377.639844379</v>
      </c>
      <c r="Q23" s="41">
        <v>0.0017717239099156</v>
      </c>
      <c r="R23" s="41">
        <v>0.0044539830845631</v>
      </c>
      <c r="S23" s="41">
        <v>0.0072673691472239</v>
      </c>
      <c r="T23" s="41">
        <v>0.0010478453303194</v>
      </c>
    </row>
    <row r="24">
      <c r="A24" s="41">
        <v>6750.0</v>
      </c>
      <c r="B24" s="41">
        <v>238.635855824999</v>
      </c>
      <c r="C24" s="41">
        <v>0.0037822721670539</v>
      </c>
      <c r="D24" s="41">
        <v>0.0028142593777812</v>
      </c>
      <c r="E24" s="41">
        <v>0.004557653090564</v>
      </c>
      <c r="F24" s="41">
        <v>6.620908135361E-4</v>
      </c>
      <c r="H24" s="41">
        <v>8169.0</v>
      </c>
      <c r="I24" s="41">
        <v>240.041817292999</v>
      </c>
      <c r="J24" s="41">
        <v>0.0028309961038339</v>
      </c>
      <c r="K24" s="41">
        <v>0.0028310244897021</v>
      </c>
      <c r="L24" s="41">
        <v>0.0046094189653099</v>
      </c>
      <c r="M24" s="41">
        <v>6.660389129444E-4</v>
      </c>
      <c r="O24" s="41">
        <v>8654.0</v>
      </c>
      <c r="P24" s="41">
        <v>315.845357332999</v>
      </c>
      <c r="Q24" s="41">
        <v>0.0014804626780929</v>
      </c>
      <c r="R24" s="41">
        <v>0.0037249810924145</v>
      </c>
      <c r="S24" s="41">
        <v>0.0060686959660639</v>
      </c>
      <c r="T24" s="41">
        <v>8.763377864388E-4</v>
      </c>
    </row>
    <row r="25">
      <c r="A25" s="41">
        <v>8224.0</v>
      </c>
      <c r="B25" s="41">
        <v>359.866163826</v>
      </c>
      <c r="C25" s="41">
        <v>0.0057068518363551</v>
      </c>
      <c r="D25" s="41">
        <v>0.0042438012334278</v>
      </c>
      <c r="E25" s="41">
        <v>0.006879824114966</v>
      </c>
      <c r="F25" s="41">
        <v>9.984177932555E-4</v>
      </c>
      <c r="H25" s="41">
        <v>8645.0</v>
      </c>
      <c r="I25" s="41">
        <v>257.687259307</v>
      </c>
      <c r="J25" s="41">
        <v>0.0030399037877559</v>
      </c>
      <c r="K25" s="41">
        <v>0.0030395415062583</v>
      </c>
      <c r="L25" s="41">
        <v>0.004950057571154</v>
      </c>
      <c r="M25" s="41">
        <v>7.150849107972E-4</v>
      </c>
      <c r="O25" s="41">
        <v>9974.0</v>
      </c>
      <c r="P25" s="41">
        <v>406.682499466999</v>
      </c>
      <c r="Q25" s="41">
        <v>0.001908600066032</v>
      </c>
      <c r="R25" s="41">
        <v>0.0047963642484847</v>
      </c>
      <c r="S25" s="41">
        <v>0.007830930431406</v>
      </c>
      <c r="T25" s="41">
        <v>0.0011283989548888</v>
      </c>
    </row>
    <row r="26">
      <c r="A26" s="41">
        <v>8417.0</v>
      </c>
      <c r="B26" s="41">
        <v>372.788426998</v>
      </c>
      <c r="C26" s="41">
        <v>0.0059213739518788</v>
      </c>
      <c r="D26" s="41">
        <v>0.0043958628426361</v>
      </c>
      <c r="E26" s="41">
        <v>0.0071477071070499</v>
      </c>
      <c r="F26" s="41">
        <v>0.0010341440966555</v>
      </c>
      <c r="H26" s="41">
        <v>8832.0</v>
      </c>
      <c r="I26" s="41">
        <v>266.101956833999</v>
      </c>
      <c r="J26" s="41">
        <v>0.0031407046762161</v>
      </c>
      <c r="K26" s="41">
        <v>0.0031387970764909</v>
      </c>
      <c r="L26" s="41">
        <v>0.0051160921484259</v>
      </c>
      <c r="M26" s="41">
        <v>7.384354378138E-4</v>
      </c>
      <c r="O26" s="41">
        <v>8940.0</v>
      </c>
      <c r="P26" s="41">
        <v>311.624759996999</v>
      </c>
      <c r="Q26" s="41">
        <v>0.0014613832409389</v>
      </c>
      <c r="R26" s="41">
        <v>0.0036755205525604</v>
      </c>
      <c r="S26" s="41">
        <v>0.0059922614604719</v>
      </c>
      <c r="T26" s="41">
        <v>8.647232001472E-4</v>
      </c>
    </row>
    <row r="27">
      <c r="A27" s="41">
        <v>8488.0</v>
      </c>
      <c r="B27" s="41">
        <v>372.983622103999</v>
      </c>
      <c r="C27" s="41">
        <v>0.0059254852481736</v>
      </c>
      <c r="D27" s="41">
        <v>0.0043986158710388</v>
      </c>
      <c r="E27" s="41">
        <v>0.0071530387779819</v>
      </c>
      <c r="F27" s="41">
        <v>0.0010347922876222</v>
      </c>
      <c r="H27" s="41">
        <v>8604.0</v>
      </c>
      <c r="I27" s="41">
        <v>249.641465397</v>
      </c>
      <c r="J27" s="41">
        <v>0.0029438255542009</v>
      </c>
      <c r="K27" s="41">
        <v>0.0029444888814423</v>
      </c>
      <c r="L27" s="41">
        <v>0.004792343278316</v>
      </c>
      <c r="M27" s="41">
        <v>6.927343511777E-4</v>
      </c>
      <c r="O27" s="41">
        <v>9186.0</v>
      </c>
      <c r="P27" s="41">
        <v>327.550164911001</v>
      </c>
      <c r="Q27" s="41">
        <v>0.0015357769089043</v>
      </c>
      <c r="R27" s="41">
        <v>0.0038626394810306</v>
      </c>
      <c r="S27" s="41">
        <v>0.0062972933711639</v>
      </c>
      <c r="T27" s="41">
        <v>9.087436223777E-4</v>
      </c>
    </row>
    <row r="28">
      <c r="A28" s="41">
        <v>6814.0</v>
      </c>
      <c r="B28" s="41">
        <v>259.064591858999</v>
      </c>
      <c r="C28" s="41">
        <v>0.0041035181554175</v>
      </c>
      <c r="D28" s="41">
        <v>0.0030545856926076</v>
      </c>
      <c r="E28" s="41">
        <v>0.004943153676742</v>
      </c>
      <c r="F28" s="41">
        <v>7.186292238611E-4</v>
      </c>
      <c r="H28" s="41">
        <v>8351.0</v>
      </c>
      <c r="I28" s="41">
        <v>262.268586383</v>
      </c>
      <c r="J28" s="41">
        <v>0.003093876590195</v>
      </c>
      <c r="K28" s="41">
        <v>0.0030932527777499</v>
      </c>
      <c r="L28" s="41">
        <v>0.0050382756972839</v>
      </c>
      <c r="M28" s="41">
        <v>7.277052035583E-4</v>
      </c>
      <c r="O28" s="41">
        <v>9237.0</v>
      </c>
      <c r="P28" s="41">
        <v>370.736035755</v>
      </c>
      <c r="Q28" s="41">
        <v>0.0017388770796888</v>
      </c>
      <c r="R28" s="41">
        <v>0.0043725602334173</v>
      </c>
      <c r="S28" s="41">
        <v>0.007131203482736</v>
      </c>
      <c r="T28" s="41">
        <v>0.0010286996335249</v>
      </c>
    </row>
    <row r="29">
      <c r="A29" s="41">
        <v>6275.0</v>
      </c>
      <c r="B29" s="41">
        <v>217.389327415</v>
      </c>
      <c r="C29" s="41">
        <v>0.003437423432238</v>
      </c>
      <c r="D29" s="41">
        <v>0.0025637546666847</v>
      </c>
      <c r="E29" s="41">
        <v>0.0041346088632399</v>
      </c>
      <c r="F29" s="41">
        <v>6.031393540749E-4</v>
      </c>
      <c r="H29" s="41">
        <v>7891.0</v>
      </c>
      <c r="I29" s="41">
        <v>233.8720616</v>
      </c>
      <c r="J29" s="41">
        <v>0.0027576617651166</v>
      </c>
      <c r="K29" s="41">
        <v>0.0027584205111805</v>
      </c>
      <c r="L29" s="41">
        <v>0.004489102757946</v>
      </c>
      <c r="M29" s="41">
        <v>6.489681620805E-4</v>
      </c>
      <c r="O29" s="41">
        <v>8175.0</v>
      </c>
      <c r="P29" s="41">
        <v>288.850456432001</v>
      </c>
      <c r="Q29" s="41">
        <v>0.0013543716291812</v>
      </c>
      <c r="R29" s="41">
        <v>0.0034063628362284</v>
      </c>
      <c r="S29" s="41">
        <v>0.005553529165042</v>
      </c>
      <c r="T29" s="41">
        <v>8.013573721444E-4</v>
      </c>
    </row>
    <row r="30">
      <c r="A30" s="41">
        <v>7052.0</v>
      </c>
      <c r="B30" s="41">
        <v>277.794863083999</v>
      </c>
      <c r="C30" s="41">
        <v>0.004401497364635</v>
      </c>
      <c r="D30" s="41">
        <v>0.0032753237674569</v>
      </c>
      <c r="E30" s="41">
        <v>0.0053034534094259</v>
      </c>
      <c r="F30" s="41">
        <v>7.70535276275E-4</v>
      </c>
      <c r="H30" s="41">
        <v>9062.0</v>
      </c>
      <c r="I30" s="41">
        <v>304.572849300999</v>
      </c>
      <c r="J30" s="41">
        <v>0.0035951607030732</v>
      </c>
      <c r="K30" s="41">
        <v>0.0035922270871006</v>
      </c>
      <c r="L30" s="41">
        <v>0.0058572824636</v>
      </c>
      <c r="M30" s="41">
        <v>8.451379092388E-4</v>
      </c>
      <c r="O30" s="41">
        <v>9067.0</v>
      </c>
      <c r="P30" s="41">
        <v>354.608226081001</v>
      </c>
      <c r="Q30" s="41">
        <v>0.0016629888779385</v>
      </c>
      <c r="R30" s="41">
        <v>0.0041821704739812</v>
      </c>
      <c r="S30" s="41">
        <v>0.0068194360110999</v>
      </c>
      <c r="T30" s="41">
        <v>9.839141748472E-4</v>
      </c>
    </row>
    <row r="31">
      <c r="A31" s="41">
        <v>7055.0</v>
      </c>
      <c r="B31" s="41">
        <v>266.228653124</v>
      </c>
      <c r="C31" s="41">
        <v>0.0042173197659755</v>
      </c>
      <c r="D31" s="41">
        <v>0.0031393030363229</v>
      </c>
      <c r="E31" s="41">
        <v>0.005080239897522</v>
      </c>
      <c r="F31" s="41">
        <v>7.385540364694E-4</v>
      </c>
      <c r="H31" s="41">
        <v>8693.0</v>
      </c>
      <c r="I31" s="41">
        <v>269.797070144999</v>
      </c>
      <c r="J31" s="41">
        <v>0.0031816245339729</v>
      </c>
      <c r="K31" s="41">
        <v>0.0031824236494201</v>
      </c>
      <c r="L31" s="41">
        <v>0.005179372476828</v>
      </c>
      <c r="M31" s="41">
        <v>7.487014654583E-4</v>
      </c>
      <c r="O31" s="41">
        <v>8876.0</v>
      </c>
      <c r="P31" s="41">
        <v>325.51941636</v>
      </c>
      <c r="Q31" s="41">
        <v>0.0015261218565109</v>
      </c>
      <c r="R31" s="41">
        <v>0.0038395370480158</v>
      </c>
      <c r="S31" s="41">
        <v>0.0062562544494439</v>
      </c>
      <c r="T31" s="41">
        <v>9.032989254749E-4</v>
      </c>
    </row>
    <row r="32">
      <c r="A32" s="41">
        <v>6883.0</v>
      </c>
      <c r="B32" s="41">
        <v>254.627981155001</v>
      </c>
      <c r="C32" s="41">
        <v>0.0040304764699674</v>
      </c>
      <c r="D32" s="41">
        <v>0.0030029235369055</v>
      </c>
      <c r="E32" s="41">
        <v>0.004851822770344</v>
      </c>
      <c r="F32" s="41">
        <v>7.064729168249E-4</v>
      </c>
      <c r="H32" s="41">
        <v>8546.0</v>
      </c>
      <c r="I32" s="41">
        <v>259.908326125998</v>
      </c>
      <c r="J32" s="41">
        <v>0.0030647252572342</v>
      </c>
      <c r="K32" s="41">
        <v>0.0030654659966715</v>
      </c>
      <c r="L32" s="41">
        <v>0.004989103435724</v>
      </c>
      <c r="M32" s="41">
        <v>7.211901762999E-4</v>
      </c>
      <c r="O32" s="41">
        <v>8800.0</v>
      </c>
      <c r="P32" s="41">
        <v>320.603046517</v>
      </c>
      <c r="Q32" s="41">
        <v>0.0015035279313389</v>
      </c>
      <c r="R32" s="41">
        <v>0.0037810009537652</v>
      </c>
      <c r="S32" s="41">
        <v>0.0061657221547959</v>
      </c>
      <c r="T32" s="41">
        <v>8.895280070694E-4</v>
      </c>
    </row>
    <row r="33">
      <c r="A33" s="41">
        <v>9197.0</v>
      </c>
      <c r="B33" s="41">
        <v>459.916195943998</v>
      </c>
      <c r="C33" s="41">
        <v>0.0073006406818607</v>
      </c>
      <c r="D33" s="41">
        <v>0.0054229746236985</v>
      </c>
      <c r="E33" s="41">
        <v>0.008808707324738</v>
      </c>
      <c r="F33" s="41">
        <v>0.0012757613574194</v>
      </c>
      <c r="H33" s="41">
        <v>9660.0</v>
      </c>
      <c r="I33" s="41">
        <v>328.579403589999</v>
      </c>
      <c r="J33" s="41">
        <v>0.0038787476274844</v>
      </c>
      <c r="K33" s="41">
        <v>0.0038753881700708</v>
      </c>
      <c r="L33" s="41">
        <v>0.0063195633889799</v>
      </c>
      <c r="M33" s="41">
        <v>9.117395484972E-4</v>
      </c>
      <c r="O33" s="41">
        <v>10097.0</v>
      </c>
      <c r="P33" s="41">
        <v>420.290159453999</v>
      </c>
      <c r="Q33" s="41">
        <v>0.0019720206017559</v>
      </c>
      <c r="R33" s="41">
        <v>0.0049571829257784</v>
      </c>
      <c r="S33" s="41">
        <v>0.008089365360376</v>
      </c>
      <c r="T33" s="41">
        <v>0.0011662308717249</v>
      </c>
    </row>
    <row r="34">
      <c r="A34" s="41">
        <v>8633.0</v>
      </c>
      <c r="B34" s="41">
        <v>399.238981938</v>
      </c>
      <c r="C34" s="41">
        <v>0.006339473269943</v>
      </c>
      <c r="D34" s="41">
        <v>0.0047081413983187</v>
      </c>
      <c r="E34" s="41">
        <v>0.0076500361200239</v>
      </c>
      <c r="F34" s="41">
        <v>0.0011076300191916</v>
      </c>
      <c r="H34" s="41">
        <v>8528.0</v>
      </c>
      <c r="I34" s="41">
        <v>243.244465792999</v>
      </c>
      <c r="J34" s="41">
        <v>0.0028688347014031</v>
      </c>
      <c r="K34" s="41">
        <v>0.0028686443108464</v>
      </c>
      <c r="L34" s="41">
        <v>0.0046713162370499</v>
      </c>
      <c r="M34" s="41">
        <v>6.748716420916E-4</v>
      </c>
      <c r="O34" s="41">
        <v>9700.0</v>
      </c>
      <c r="P34" s="41">
        <v>377.517435031</v>
      </c>
      <c r="Q34" s="41">
        <v>0.0017709933034632</v>
      </c>
      <c r="R34" s="41">
        <v>0.0044520961756547</v>
      </c>
      <c r="S34" s="41">
        <v>0.007264433867098</v>
      </c>
      <c r="T34" s="41">
        <v>0.0010474018805722</v>
      </c>
    </row>
    <row r="35">
      <c r="A35" s="41">
        <v>9340.0</v>
      </c>
      <c r="B35" s="41">
        <v>479.528157957998</v>
      </c>
      <c r="C35" s="41">
        <v>0.0076114661169731</v>
      </c>
      <c r="D35" s="41">
        <v>0.0056548383368721</v>
      </c>
      <c r="E35" s="41">
        <v>0.009182453734846</v>
      </c>
      <c r="F35" s="41">
        <v>0.0013303820307305</v>
      </c>
      <c r="H35" s="41">
        <v>9007.0</v>
      </c>
      <c r="I35" s="41">
        <v>280.192640127999</v>
      </c>
      <c r="J35" s="41">
        <v>0.0033056639126109</v>
      </c>
      <c r="K35" s="41">
        <v>0.0033047293603604</v>
      </c>
      <c r="L35" s="41">
        <v>0.0053834612512099</v>
      </c>
      <c r="M35" s="41">
        <v>7.774904558388E-4</v>
      </c>
      <c r="O35" s="41">
        <v>9993.0</v>
      </c>
      <c r="P35" s="41">
        <v>404.622109298999</v>
      </c>
      <c r="Q35" s="41">
        <v>0.0018982123860037</v>
      </c>
      <c r="R35" s="41">
        <v>0.004772002243159</v>
      </c>
      <c r="S35" s="41">
        <v>0.007786170673376</v>
      </c>
      <c r="T35" s="41">
        <v>0.0011226544607249</v>
      </c>
    </row>
    <row r="36">
      <c r="A36" s="41">
        <v>7206.0</v>
      </c>
      <c r="B36" s="41">
        <v>300.782897404</v>
      </c>
      <c r="C36" s="41">
        <v>0.0047640846320115</v>
      </c>
      <c r="D36" s="41">
        <v>0.0035466584832589</v>
      </c>
      <c r="E36" s="41">
        <v>0.005738455701872</v>
      </c>
      <c r="F36" s="41">
        <v>8.343774532916E-4</v>
      </c>
      <c r="H36" s="41">
        <v>8388.0</v>
      </c>
      <c r="I36" s="41">
        <v>254.461774220999</v>
      </c>
      <c r="J36" s="41">
        <v>0.0030025141123941</v>
      </c>
      <c r="K36" s="41">
        <v>0.0030015143892091</v>
      </c>
      <c r="L36" s="41">
        <v>0.00488996363419</v>
      </c>
      <c r="M36" s="41">
        <v>7.061416196305E-4</v>
      </c>
      <c r="O36" s="41">
        <v>9342.0</v>
      </c>
      <c r="P36" s="41">
        <v>374.265687575998</v>
      </c>
      <c r="Q36" s="41">
        <v>0.0017562361324828</v>
      </c>
      <c r="R36" s="41">
        <v>0.0044140873392368</v>
      </c>
      <c r="S36" s="41">
        <v>0.0072050199306779</v>
      </c>
      <c r="T36" s="41">
        <v>0.0010384665291833</v>
      </c>
    </row>
    <row r="37">
      <c r="A37" s="41">
        <v>6704.0</v>
      </c>
      <c r="B37" s="41">
        <v>225.063544023998</v>
      </c>
      <c r="C37" s="41">
        <v>0.0035580546038249</v>
      </c>
      <c r="D37" s="41">
        <v>0.0026535330799514</v>
      </c>
      <c r="E37" s="41">
        <v>0.0042799278683839</v>
      </c>
      <c r="F37" s="41">
        <v>6.242771259472E-4</v>
      </c>
      <c r="H37" s="41">
        <v>8711.0</v>
      </c>
      <c r="I37" s="41">
        <v>257.381449888</v>
      </c>
      <c r="J37" s="41">
        <v>0.0030358639733731</v>
      </c>
      <c r="K37" s="41">
        <v>0.0030361700361424</v>
      </c>
      <c r="L37" s="41">
        <v>0.004942659231902</v>
      </c>
      <c r="M37" s="41">
        <v>7.142868186694E-4</v>
      </c>
      <c r="O37" s="41">
        <v>9123.0</v>
      </c>
      <c r="P37" s="41">
        <v>327.541824631</v>
      </c>
      <c r="Q37" s="41">
        <v>0.0015357862182281</v>
      </c>
      <c r="R37" s="41">
        <v>0.0038627820045797</v>
      </c>
      <c r="S37" s="41">
        <v>0.0062971905933039</v>
      </c>
      <c r="T37" s="41">
        <v>9.087709709999E-4</v>
      </c>
    </row>
    <row r="38">
      <c r="A38" s="41">
        <v>6699.0</v>
      </c>
      <c r="B38" s="41">
        <v>252.326584264001</v>
      </c>
      <c r="C38" s="41">
        <v>0.0039903741421349</v>
      </c>
      <c r="D38" s="41">
        <v>0.0029752383780257</v>
      </c>
      <c r="E38" s="41">
        <v>0.0048008418962259</v>
      </c>
      <c r="F38" s="41">
        <v>6.999567579583E-4</v>
      </c>
      <c r="H38" s="41">
        <v>8142.0</v>
      </c>
      <c r="I38" s="41">
        <v>243.293316526</v>
      </c>
      <c r="J38" s="41">
        <v>0.0028684637856692</v>
      </c>
      <c r="K38" s="41">
        <v>0.0028690598858812</v>
      </c>
      <c r="L38" s="41">
        <v>0.004669772624704</v>
      </c>
      <c r="M38" s="41">
        <v>6.749375720222E-4</v>
      </c>
      <c r="O38" s="41">
        <v>8440.0</v>
      </c>
      <c r="P38" s="41">
        <v>299.343730541999</v>
      </c>
      <c r="Q38" s="41">
        <v>0.0014034844128854</v>
      </c>
      <c r="R38" s="41">
        <v>0.003530260251927</v>
      </c>
      <c r="S38" s="41">
        <v>0.005754404325742</v>
      </c>
      <c r="T38" s="41">
        <v>8.305512543083E-4</v>
      </c>
    </row>
    <row r="39">
      <c r="A39" s="41">
        <v>6718.0</v>
      </c>
      <c r="B39" s="41">
        <v>241.145381205999</v>
      </c>
      <c r="C39" s="41">
        <v>0.0038148990734019</v>
      </c>
      <c r="D39" s="41">
        <v>0.0028436372993478</v>
      </c>
      <c r="E39" s="41">
        <v>0.0045907028392259</v>
      </c>
      <c r="F39" s="41">
        <v>6.689666363138E-4</v>
      </c>
      <c r="H39" s="41">
        <v>9488.0</v>
      </c>
      <c r="I39" s="41">
        <v>327.524520922999</v>
      </c>
      <c r="J39" s="41">
        <v>0.0038645706005907</v>
      </c>
      <c r="K39" s="41">
        <v>0.0038632758495506</v>
      </c>
      <c r="L39" s="41">
        <v>0.0062939400351479</v>
      </c>
      <c r="M39" s="41">
        <v>9.088796817999E-4</v>
      </c>
      <c r="O39" s="41">
        <v>9457.0</v>
      </c>
      <c r="P39" s="41">
        <v>369.295725657</v>
      </c>
      <c r="Q39" s="41">
        <v>0.0017324500874261</v>
      </c>
      <c r="R39" s="41">
        <v>0.0043549653319111</v>
      </c>
      <c r="S39" s="41">
        <v>0.0071066362408599</v>
      </c>
      <c r="T39" s="41">
        <v>0.0010245410530777</v>
      </c>
    </row>
    <row r="40">
      <c r="A40" s="41">
        <v>9246.0</v>
      </c>
      <c r="B40" s="41">
        <v>484.579343535</v>
      </c>
      <c r="C40" s="41">
        <v>0.0076875934987776</v>
      </c>
      <c r="D40" s="41">
        <v>0.005712975469161</v>
      </c>
      <c r="E40" s="41">
        <v>0.0092723551956559</v>
      </c>
      <c r="F40" s="41">
        <v>0.0013440471988222</v>
      </c>
      <c r="H40" s="41">
        <v>8507.0</v>
      </c>
      <c r="I40" s="41">
        <v>260.438464691998</v>
      </c>
      <c r="J40" s="41">
        <v>0.003069025702023</v>
      </c>
      <c r="K40" s="41">
        <v>0.0030715447603027</v>
      </c>
      <c r="L40" s="41">
        <v>0.0049939320506979</v>
      </c>
      <c r="M40" s="41">
        <v>7.225970074555E-4</v>
      </c>
      <c r="O40" s="41">
        <v>9658.0</v>
      </c>
      <c r="P40" s="41">
        <v>394.153849106998</v>
      </c>
      <c r="Q40" s="41">
        <v>0.0018490738519111</v>
      </c>
      <c r="R40" s="41">
        <v>0.0046483233155451</v>
      </c>
      <c r="S40" s="41">
        <v>0.007584777734484</v>
      </c>
      <c r="T40" s="41">
        <v>0.0010935742800472</v>
      </c>
    </row>
    <row r="41">
      <c r="A41" s="41">
        <v>7626.0</v>
      </c>
      <c r="B41" s="41">
        <v>300.501674043998</v>
      </c>
      <c r="C41" s="41">
        <v>0.00476115033391</v>
      </c>
      <c r="D41" s="41">
        <v>0.0035441710885805</v>
      </c>
      <c r="E41" s="41">
        <v>0.005735272365992</v>
      </c>
      <c r="F41" s="41">
        <v>8.338153799861E-4</v>
      </c>
      <c r="H41" s="41">
        <v>9378.0</v>
      </c>
      <c r="I41" s="41">
        <v>301.115769572999</v>
      </c>
      <c r="J41" s="41">
        <v>0.0035521880969398</v>
      </c>
      <c r="K41" s="41">
        <v>0.0035511506676082</v>
      </c>
      <c r="L41" s="41">
        <v>0.005785007128002</v>
      </c>
      <c r="M41" s="41">
        <v>8.354387447416E-4</v>
      </c>
      <c r="O41" s="41">
        <v>10729.0</v>
      </c>
      <c r="P41" s="41">
        <v>458.524705158999</v>
      </c>
      <c r="Q41" s="41">
        <v>0.0021521660680709</v>
      </c>
      <c r="R41" s="41">
        <v>0.0054075094953201</v>
      </c>
      <c r="S41" s="41">
        <v>0.008831448176264</v>
      </c>
      <c r="T41" s="41">
        <v>0.0012721688396388</v>
      </c>
    </row>
    <row r="42">
      <c r="A42" s="41">
        <v>7561.0</v>
      </c>
      <c r="B42" s="41">
        <v>319.994560592</v>
      </c>
      <c r="C42" s="41">
        <v>0.0050688639552132</v>
      </c>
      <c r="D42" s="41">
        <v>0.0037727657836375</v>
      </c>
      <c r="E42" s="41">
        <v>0.0061065271074399</v>
      </c>
      <c r="F42" s="41">
        <v>8.875868713889E-4</v>
      </c>
      <c r="H42" s="41">
        <v>8512.0</v>
      </c>
      <c r="I42" s="41">
        <v>258.640350488</v>
      </c>
      <c r="J42" s="41">
        <v>0.0030484780217538</v>
      </c>
      <c r="K42" s="41">
        <v>0.0030503232163312</v>
      </c>
      <c r="L42" s="41">
        <v>0.0049612864690259</v>
      </c>
      <c r="M42" s="41">
        <v>7.176263948277E-4</v>
      </c>
      <c r="O42" s="41">
        <v>9167.0</v>
      </c>
      <c r="P42" s="41">
        <v>345.434152360998</v>
      </c>
      <c r="Q42" s="41">
        <v>0.0016198580617237</v>
      </c>
      <c r="R42" s="41">
        <v>0.0040740809534937</v>
      </c>
      <c r="S42" s="41">
        <v>0.0066421250359179</v>
      </c>
      <c r="T42" s="41">
        <v>9.584615459527E-4</v>
      </c>
    </row>
    <row r="43">
      <c r="A43" s="41">
        <v>7763.0</v>
      </c>
      <c r="B43" s="41">
        <v>320.377797985</v>
      </c>
      <c r="C43" s="41">
        <v>0.0050776124767229</v>
      </c>
      <c r="D43" s="41">
        <v>0.0037778476226555</v>
      </c>
      <c r="E43" s="41">
        <v>0.006118807117264</v>
      </c>
      <c r="F43" s="41">
        <v>8.8880793975E-4</v>
      </c>
      <c r="H43" s="41">
        <v>8845.0</v>
      </c>
      <c r="I43" s="41">
        <v>269.490103911999</v>
      </c>
      <c r="J43" s="41">
        <v>0.0031771587499798</v>
      </c>
      <c r="K43" s="41">
        <v>0.0031781981365153</v>
      </c>
      <c r="L43" s="41">
        <v>0.0051717996929919</v>
      </c>
      <c r="M43" s="41">
        <v>7.477121080055E-4</v>
      </c>
      <c r="O43" s="41">
        <v>9577.0</v>
      </c>
      <c r="P43" s="41">
        <v>364.711519276999</v>
      </c>
      <c r="Q43" s="41">
        <v>0.0017112360893207</v>
      </c>
      <c r="R43" s="41">
        <v>0.0043017670257271</v>
      </c>
      <c r="S43" s="41">
        <v>0.00701945006</v>
      </c>
      <c r="T43" s="41">
        <v>0.0010120316657583</v>
      </c>
    </row>
    <row r="44">
      <c r="A44" s="41">
        <v>6842.0</v>
      </c>
      <c r="B44" s="41">
        <v>257.862055685</v>
      </c>
      <c r="C44" s="41">
        <v>0.0040787578446389</v>
      </c>
      <c r="D44" s="41">
        <v>0.0030403076073152</v>
      </c>
      <c r="E44" s="41">
        <v>0.0049082394821439</v>
      </c>
      <c r="F44" s="41">
        <v>7.152276106444E-4</v>
      </c>
      <c r="H44" s="41">
        <v>8326.0</v>
      </c>
      <c r="I44" s="41">
        <v>248.501097895001</v>
      </c>
      <c r="J44" s="41">
        <v>0.0029277324897571</v>
      </c>
      <c r="K44" s="41">
        <v>0.0029308286841</v>
      </c>
      <c r="L44" s="41">
        <v>0.0047631571438559</v>
      </c>
      <c r="M44" s="41">
        <v>6.8949861915E-4</v>
      </c>
      <c r="O44" s="41">
        <v>9455.0</v>
      </c>
      <c r="P44" s="41">
        <v>374.204675949</v>
      </c>
      <c r="Q44" s="41">
        <v>0.0017558104493899</v>
      </c>
      <c r="R44" s="41">
        <v>0.0044134577308493</v>
      </c>
      <c r="S44" s="41">
        <v>0.0072027279843999</v>
      </c>
      <c r="T44" s="41">
        <v>0.0010383200936944</v>
      </c>
    </row>
    <row r="45">
      <c r="A45" s="41">
        <v>7505.0</v>
      </c>
      <c r="B45" s="41">
        <v>296.362256649001</v>
      </c>
      <c r="C45" s="41">
        <v>0.0046937227303205</v>
      </c>
      <c r="D45" s="41">
        <v>0.0034950085679819</v>
      </c>
      <c r="E45" s="41">
        <v>0.0056527900777839</v>
      </c>
      <c r="F45" s="41">
        <v>8.222358081555E-4</v>
      </c>
      <c r="H45" s="41">
        <v>8646.0</v>
      </c>
      <c r="I45" s="41">
        <v>258.656876547</v>
      </c>
      <c r="J45" s="41">
        <v>0.0030497263001159</v>
      </c>
      <c r="K45" s="41">
        <v>0.0030506445172638</v>
      </c>
      <c r="L45" s="41">
        <v>0.004964471471574</v>
      </c>
      <c r="M45" s="41">
        <v>7.176945033777E-4</v>
      </c>
      <c r="O45" s="41">
        <v>9103.0</v>
      </c>
      <c r="P45" s="41">
        <v>329.052344789999</v>
      </c>
      <c r="Q45" s="41">
        <v>0.0015438443623026</v>
      </c>
      <c r="R45" s="41">
        <v>0.0038811341510166</v>
      </c>
      <c r="S45" s="41">
        <v>0.006332610899418</v>
      </c>
      <c r="T45" s="41">
        <v>9.130753063138E-4</v>
      </c>
    </row>
    <row r="46">
      <c r="A46" s="41">
        <v>6368.0</v>
      </c>
      <c r="B46" s="41">
        <v>219.093382732</v>
      </c>
      <c r="C46" s="41">
        <v>0.0034624256163474</v>
      </c>
      <c r="D46" s="41">
        <v>0.0025839298647409</v>
      </c>
      <c r="E46" s="41">
        <v>0.004162794441344</v>
      </c>
      <c r="F46" s="41">
        <v>6.078862392138E-4</v>
      </c>
      <c r="H46" s="41">
        <v>7963.0</v>
      </c>
      <c r="I46" s="41">
        <v>233.702666512001</v>
      </c>
      <c r="J46" s="41">
        <v>0.0027524088807858</v>
      </c>
      <c r="K46" s="41">
        <v>0.0027559978683569</v>
      </c>
      <c r="L46" s="41">
        <v>0.004477089137224</v>
      </c>
      <c r="M46" s="41">
        <v>6.483629304611E-4</v>
      </c>
      <c r="O46" s="41">
        <v>8705.0</v>
      </c>
      <c r="P46" s="41">
        <v>325.681755328998</v>
      </c>
      <c r="Q46" s="41">
        <v>0.0015270763738725</v>
      </c>
      <c r="R46" s="41">
        <v>0.0038406405175319</v>
      </c>
      <c r="S46" s="41">
        <v>0.00626179528721</v>
      </c>
      <c r="T46" s="41">
        <v>9.035340313444E-4</v>
      </c>
    </row>
    <row r="47">
      <c r="A47" s="41">
        <v>7044.0</v>
      </c>
      <c r="B47" s="41">
        <v>276.348888219001</v>
      </c>
      <c r="C47" s="41">
        <v>0.0043715110741127</v>
      </c>
      <c r="D47" s="41">
        <v>0.0032585894420402</v>
      </c>
      <c r="E47" s="41">
        <v>0.005260465041702</v>
      </c>
      <c r="F47" s="41">
        <v>7.665634636194E-4</v>
      </c>
      <c r="H47" s="41">
        <v>8148.0</v>
      </c>
      <c r="I47" s="41">
        <v>240.640614044999</v>
      </c>
      <c r="J47" s="41">
        <v>0.0028353022073878</v>
      </c>
      <c r="K47" s="41">
        <v>0.0028380241909568</v>
      </c>
      <c r="L47" s="41">
        <v>0.004613112579376</v>
      </c>
      <c r="M47" s="41">
        <v>6.676760111083E-4</v>
      </c>
      <c r="O47" s="41">
        <v>9042.0</v>
      </c>
      <c r="P47" s="41">
        <v>341.818722453001</v>
      </c>
      <c r="Q47" s="41">
        <v>0.0016030007320698</v>
      </c>
      <c r="R47" s="41">
        <v>0.0040314796731368</v>
      </c>
      <c r="S47" s="41">
        <v>0.0065732472030379</v>
      </c>
      <c r="T47" s="41">
        <v>9.484462369972E-4</v>
      </c>
    </row>
    <row r="48">
      <c r="A48" s="41">
        <v>6570.0</v>
      </c>
      <c r="B48" s="41">
        <v>233.422006704</v>
      </c>
      <c r="C48" s="41">
        <v>0.0036905015002301</v>
      </c>
      <c r="D48" s="41">
        <v>0.0027523125922423</v>
      </c>
      <c r="E48" s="41">
        <v>0.00443924521806</v>
      </c>
      <c r="F48" s="41">
        <v>6.475134820555E-4</v>
      </c>
      <c r="H48" s="41">
        <v>8001.0</v>
      </c>
      <c r="I48" s="41">
        <v>232.041411409998</v>
      </c>
      <c r="J48" s="41">
        <v>0.0027325366346633</v>
      </c>
      <c r="K48" s="41">
        <v>0.002736572508036</v>
      </c>
      <c r="L48" s="41">
        <v>0.0044441743886699</v>
      </c>
      <c r="M48" s="41">
        <v>6.437993888555E-4</v>
      </c>
      <c r="O48" s="41">
        <v>8176.0</v>
      </c>
      <c r="P48" s="41">
        <v>274.808675158001</v>
      </c>
      <c r="Q48" s="41">
        <v>0.001288216089236</v>
      </c>
      <c r="R48" s="41">
        <v>0.0032412887265138</v>
      </c>
      <c r="S48" s="41">
        <v>0.0052806161689339</v>
      </c>
      <c r="T48" s="41">
        <v>7.625471876777E-4</v>
      </c>
    </row>
    <row r="49">
      <c r="A49" s="41">
        <v>8359.0</v>
      </c>
      <c r="B49" s="41">
        <v>353.938222898999</v>
      </c>
      <c r="C49" s="41">
        <v>0.0056133061335099</v>
      </c>
      <c r="D49" s="41">
        <v>0.0041731786418341</v>
      </c>
      <c r="E49" s="41">
        <v>0.006768380970256</v>
      </c>
      <c r="F49" s="41">
        <v>9.817811489611E-4</v>
      </c>
      <c r="H49" s="41">
        <v>8896.0</v>
      </c>
      <c r="I49" s="41">
        <v>253.990742043999</v>
      </c>
      <c r="J49" s="41">
        <v>0.0029942911656567</v>
      </c>
      <c r="K49" s="41">
        <v>0.0029954853021396</v>
      </c>
      <c r="L49" s="41">
        <v>0.004873866954646</v>
      </c>
      <c r="M49" s="41">
        <v>7.047211960361E-4</v>
      </c>
      <c r="O49" s="41">
        <v>9785.0</v>
      </c>
      <c r="P49" s="41">
        <v>359.151450131001</v>
      </c>
      <c r="Q49" s="41">
        <v>0.0016848192042895</v>
      </c>
      <c r="R49" s="41">
        <v>0.0042355448217881</v>
      </c>
      <c r="S49" s="41">
        <v>0.0069108438620039</v>
      </c>
      <c r="T49" s="41">
        <v>9.964678615194E-4</v>
      </c>
    </row>
    <row r="50">
      <c r="A50" s="41">
        <v>6565.0</v>
      </c>
      <c r="B50" s="41">
        <v>245.683506867</v>
      </c>
      <c r="C50" s="41">
        <v>0.0038832249022949</v>
      </c>
      <c r="D50" s="41">
        <v>0.0028971012049374</v>
      </c>
      <c r="E50" s="41">
        <v>0.00466975095802</v>
      </c>
      <c r="F50" s="41">
        <v>6.815869316888E-4</v>
      </c>
      <c r="H50" s="41">
        <v>8804.0</v>
      </c>
      <c r="I50" s="41">
        <v>295.540491929999</v>
      </c>
      <c r="J50" s="41">
        <v>0.0034857694946638</v>
      </c>
      <c r="K50" s="41">
        <v>0.0034856528715179</v>
      </c>
      <c r="L50" s="41">
        <v>0.005675712040566</v>
      </c>
      <c r="M50" s="41">
        <v>8.200437196638E-4</v>
      </c>
      <c r="O50" s="41">
        <v>8546.0</v>
      </c>
      <c r="P50" s="41">
        <v>315.317818793999</v>
      </c>
      <c r="Q50" s="41">
        <v>0.0014787744912899</v>
      </c>
      <c r="R50" s="41">
        <v>0.0037186430654902</v>
      </c>
      <c r="S50" s="41">
        <v>0.006064382351502</v>
      </c>
      <c r="T50" s="41">
        <v>8.748223003666E-4</v>
      </c>
    </row>
    <row r="51">
      <c r="A51" s="41">
        <v>8399.0</v>
      </c>
      <c r="B51" s="41">
        <v>379.994257888</v>
      </c>
      <c r="C51" s="41">
        <v>0.0060242075757983</v>
      </c>
      <c r="D51" s="41">
        <v>0.0044808989130945</v>
      </c>
      <c r="E51" s="41">
        <v>0.0072610974755399</v>
      </c>
      <c r="F51" s="41">
        <v>0.0010541487053861</v>
      </c>
      <c r="H51" s="41">
        <v>9487.0</v>
      </c>
      <c r="I51" s="41">
        <v>313.034471245</v>
      </c>
      <c r="J51" s="41">
        <v>0.0036924994700048</v>
      </c>
      <c r="K51" s="41">
        <v>0.0036917309336326</v>
      </c>
      <c r="L51" s="41">
        <v>0.006013148699404</v>
      </c>
      <c r="M51" s="41">
        <v>8.684948081166E-4</v>
      </c>
      <c r="O51" s="41">
        <v>9666.0</v>
      </c>
      <c r="P51" s="41">
        <v>368.795654424</v>
      </c>
      <c r="Q51" s="41">
        <v>0.0017291356878438</v>
      </c>
      <c r="R51" s="41">
        <v>0.0043496455776451</v>
      </c>
      <c r="S51" s="41">
        <v>0.0070893012269919</v>
      </c>
      <c r="T51" s="41">
        <v>0.0010233082262944</v>
      </c>
    </row>
    <row r="52">
      <c r="A52" s="41">
        <v>6885.0</v>
      </c>
      <c r="B52" s="41">
        <v>234.083253643</v>
      </c>
      <c r="C52" s="41">
        <v>0.0037004066555147</v>
      </c>
      <c r="D52" s="41">
        <v>0.0027603496923361</v>
      </c>
      <c r="E52" s="41">
        <v>0.00445034522694</v>
      </c>
      <c r="F52" s="41">
        <v>6.494161202361E-4</v>
      </c>
      <c r="H52" s="41">
        <v>8894.0</v>
      </c>
      <c r="I52" s="41">
        <v>266.872212271</v>
      </c>
      <c r="J52" s="41">
        <v>0.003145646681201</v>
      </c>
      <c r="K52" s="41">
        <v>0.0031476764407701</v>
      </c>
      <c r="L52" s="41">
        <v>0.005119284373202</v>
      </c>
      <c r="M52" s="41">
        <v>7.4051514915E-4</v>
      </c>
      <c r="O52" s="41">
        <v>9762.0</v>
      </c>
      <c r="P52" s="41">
        <v>376.184541210001</v>
      </c>
      <c r="Q52" s="41">
        <v>0.0017649803830435</v>
      </c>
      <c r="R52" s="41">
        <v>0.0044360262874347</v>
      </c>
      <c r="S52" s="41">
        <v>0.007240943570528</v>
      </c>
      <c r="T52" s="41">
        <v>0.0010436256468972</v>
      </c>
    </row>
    <row r="53">
      <c r="A53" s="41">
        <v>7324.0</v>
      </c>
      <c r="B53" s="41">
        <v>279.402606375999</v>
      </c>
      <c r="C53" s="41">
        <v>0.004421853196912</v>
      </c>
      <c r="D53" s="41">
        <v>0.003294454859218</v>
      </c>
      <c r="E53" s="41">
        <v>0.0053230717584539</v>
      </c>
      <c r="F53" s="41">
        <v>7.750240838444E-4</v>
      </c>
      <c r="H53" s="41">
        <v>8369.0</v>
      </c>
      <c r="I53" s="41">
        <v>236.854099514999</v>
      </c>
      <c r="J53" s="41">
        <v>0.0027899969166016</v>
      </c>
      <c r="K53" s="41">
        <v>0.002793298882941</v>
      </c>
      <c r="L53" s="41">
        <v>0.0045386202975599</v>
      </c>
      <c r="M53" s="41">
        <v>6.571631006277E-4</v>
      </c>
      <c r="O53" s="41">
        <v>9253.0</v>
      </c>
      <c r="P53" s="41">
        <v>337.504292621997</v>
      </c>
      <c r="Q53" s="41">
        <v>0.0015831584510993</v>
      </c>
      <c r="R53" s="41">
        <v>0.0039806172334061</v>
      </c>
      <c r="S53" s="41">
        <v>0.006493052972216</v>
      </c>
      <c r="T53" s="41">
        <v>9.364952953721E-4</v>
      </c>
    </row>
    <row r="54">
      <c r="A54" s="41">
        <v>7458.0</v>
      </c>
      <c r="B54" s="41">
        <v>289.573087097</v>
      </c>
      <c r="C54" s="41">
        <v>0.004584788105393</v>
      </c>
      <c r="D54" s="41">
        <v>0.0034147987618354</v>
      </c>
      <c r="E54" s="41">
        <v>0.0055205041386219</v>
      </c>
      <c r="F54" s="41">
        <v>8.033412421583E-4</v>
      </c>
      <c r="H54" s="41">
        <v>8760.0</v>
      </c>
      <c r="I54" s="41">
        <v>261.584263505001</v>
      </c>
      <c r="J54" s="41">
        <v>0.0030833951284951</v>
      </c>
      <c r="K54" s="41">
        <v>0.0030851847102318</v>
      </c>
      <c r="L54" s="41">
        <v>0.00501821790346</v>
      </c>
      <c r="M54" s="41">
        <v>7.258176769111E-4</v>
      </c>
      <c r="O54" s="41">
        <v>9612.0</v>
      </c>
      <c r="P54" s="41">
        <v>363.158570804</v>
      </c>
      <c r="Q54" s="41">
        <v>0.0017035337745322</v>
      </c>
      <c r="R54" s="41">
        <v>0.004283375404334</v>
      </c>
      <c r="S54" s="41">
        <v>0.006986667533774</v>
      </c>
      <c r="T54" s="41">
        <v>0.0010076935641666</v>
      </c>
    </row>
    <row r="55">
      <c r="A55" s="41">
        <v>7374.0</v>
      </c>
      <c r="B55" s="41">
        <v>273.344453264</v>
      </c>
      <c r="C55" s="41">
        <v>0.0043273616436865</v>
      </c>
      <c r="D55" s="41">
        <v>0.0032229811691409</v>
      </c>
      <c r="E55" s="41">
        <v>0.0052106458351799</v>
      </c>
      <c r="F55" s="41">
        <v>7.582122160555E-4</v>
      </c>
      <c r="H55" s="41">
        <v>8264.0</v>
      </c>
      <c r="I55" s="41">
        <v>218.382998818</v>
      </c>
      <c r="J55" s="41">
        <v>0.0025738977026747</v>
      </c>
      <c r="K55" s="41">
        <v>0.0025758536397964</v>
      </c>
      <c r="L55" s="41">
        <v>0.0041884258507379</v>
      </c>
      <c r="M55" s="41">
        <v>6.060084146305E-4</v>
      </c>
      <c r="O55" s="41">
        <v>10224.0</v>
      </c>
      <c r="P55" s="41">
        <v>402.430271967001</v>
      </c>
      <c r="Q55" s="41">
        <v>0.0018884482335209</v>
      </c>
      <c r="R55" s="41">
        <v>0.0047466629947339</v>
      </c>
      <c r="S55" s="41">
        <v>0.0077470953643379</v>
      </c>
      <c r="T55" s="41">
        <v>0.0011166966585999</v>
      </c>
    </row>
    <row r="56">
      <c r="A56" s="41">
        <v>7067.0</v>
      </c>
      <c r="B56" s="41">
        <v>273.864372740999</v>
      </c>
      <c r="C56" s="41">
        <v>0.0043342096833056</v>
      </c>
      <c r="D56" s="41">
        <v>0.0032285781658999</v>
      </c>
      <c r="E56" s="41">
        <v>0.005218265841276</v>
      </c>
      <c r="F56" s="41">
        <v>7.595412771388E-4</v>
      </c>
      <c r="H56" s="41">
        <v>8446.0</v>
      </c>
      <c r="I56" s="41">
        <v>254.830980983</v>
      </c>
      <c r="J56" s="41">
        <v>0.0030042522787574</v>
      </c>
      <c r="K56" s="41">
        <v>0.0030054577363972</v>
      </c>
      <c r="L56" s="41">
        <v>0.0048900736342779</v>
      </c>
      <c r="M56" s="41">
        <v>7.070654657027E-4</v>
      </c>
      <c r="O56" s="41">
        <v>9180.0</v>
      </c>
      <c r="P56" s="41">
        <v>350.392534841998</v>
      </c>
      <c r="Q56" s="41">
        <v>0.0016437525775853</v>
      </c>
      <c r="R56" s="41">
        <v>0.0041327469482388</v>
      </c>
      <c r="S56" s="41">
        <v>0.0067418487268079</v>
      </c>
      <c r="T56" s="41">
        <v>9.722848061277E-4</v>
      </c>
    </row>
    <row r="57">
      <c r="A57" s="41">
        <v>8018.0</v>
      </c>
      <c r="B57" s="41">
        <v>343.019631345001</v>
      </c>
      <c r="C57" s="41">
        <v>0.005432485997797</v>
      </c>
      <c r="D57" s="41">
        <v>0.0040445510354583</v>
      </c>
      <c r="E57" s="41">
        <v>0.0065431499567379</v>
      </c>
      <c r="F57" s="41">
        <v>9.515559431583E-4</v>
      </c>
      <c r="H57" s="41">
        <v>9406.0</v>
      </c>
      <c r="I57" s="41">
        <v>301.337605324999</v>
      </c>
      <c r="J57" s="41">
        <v>0.0035531846848006</v>
      </c>
      <c r="K57" s="41">
        <v>0.0035539601091652</v>
      </c>
      <c r="L57" s="41">
        <v>0.0057843618497079</v>
      </c>
      <c r="M57" s="41">
        <v>8.361282844249E-4</v>
      </c>
      <c r="O57" s="41">
        <v>9579.0</v>
      </c>
      <c r="P57" s="41">
        <v>356.973488347</v>
      </c>
      <c r="Q57" s="41">
        <v>0.0016742936113551</v>
      </c>
      <c r="R57" s="41">
        <v>0.0042103617260841</v>
      </c>
      <c r="S57" s="41">
        <v>0.0068660968817619</v>
      </c>
      <c r="T57" s="41">
        <v>9.905377117917E-4</v>
      </c>
    </row>
    <row r="58">
      <c r="A58" s="41">
        <v>6667.0</v>
      </c>
      <c r="B58" s="41">
        <v>251.028430220998</v>
      </c>
      <c r="C58" s="41">
        <v>0.0039712763225674</v>
      </c>
      <c r="D58" s="41">
        <v>0.0029601729847076</v>
      </c>
      <c r="E58" s="41">
        <v>0.00477888021199</v>
      </c>
      <c r="F58" s="41">
        <v>6.964177582166E-4</v>
      </c>
      <c r="H58" s="41">
        <v>8541.0</v>
      </c>
      <c r="I58" s="41">
        <v>269.308218019999</v>
      </c>
      <c r="J58" s="41">
        <v>0.0031752276351153</v>
      </c>
      <c r="K58" s="41">
        <v>0.0031757118284555</v>
      </c>
      <c r="L58" s="41">
        <v>0.0051693546910359</v>
      </c>
      <c r="M58" s="41">
        <v>7.471137217499E-4</v>
      </c>
      <c r="O58" s="41">
        <v>8739.0</v>
      </c>
      <c r="P58" s="41">
        <v>323.446244905</v>
      </c>
      <c r="Q58" s="41">
        <v>0.001516705721692</v>
      </c>
      <c r="R58" s="41">
        <v>0.0038146361687097</v>
      </c>
      <c r="S58" s="41">
        <v>0.0062191591419899</v>
      </c>
      <c r="T58" s="41">
        <v>8.9743099125E-4</v>
      </c>
    </row>
    <row r="59">
      <c r="A59" s="41">
        <v>6788.0</v>
      </c>
      <c r="B59" s="41">
        <v>269.331276606997</v>
      </c>
      <c r="C59" s="41">
        <v>0.0042604413661085</v>
      </c>
      <c r="D59" s="41">
        <v>0.003176535014497</v>
      </c>
      <c r="E59" s="41">
        <v>0.0051258471562299</v>
      </c>
      <c r="F59" s="41">
        <v>7.47310290786E-4</v>
      </c>
      <c r="H59" s="41">
        <v>8089.0</v>
      </c>
      <c r="I59" s="41">
        <v>247.236821463999</v>
      </c>
      <c r="J59" s="41">
        <v>0.0029129750718474</v>
      </c>
      <c r="K59" s="41">
        <v>0.0029159514505361</v>
      </c>
      <c r="L59" s="41">
        <v>0.0047392679580779</v>
      </c>
      <c r="M59" s="41">
        <v>6.860075631389E-4</v>
      </c>
      <c r="O59" s="41">
        <v>9301.0</v>
      </c>
      <c r="P59" s="41">
        <v>382.507349030998</v>
      </c>
      <c r="Q59" s="41">
        <v>0.0017944281519547</v>
      </c>
      <c r="R59" s="41">
        <v>0.0045113587863563</v>
      </c>
      <c r="S59" s="41">
        <v>0.00736009755474</v>
      </c>
      <c r="T59" s="41">
        <v>0.0010613756058444</v>
      </c>
    </row>
    <row r="60">
      <c r="A60" s="41">
        <v>7645.0</v>
      </c>
      <c r="B60" s="41">
        <v>320.632301067998</v>
      </c>
      <c r="C60" s="41">
        <v>0.0050742890255599</v>
      </c>
      <c r="D60" s="41">
        <v>0.0037811872166028</v>
      </c>
      <c r="E60" s="41">
        <v>0.006107659330568</v>
      </c>
      <c r="F60" s="41">
        <v>8.895567204917E-4</v>
      </c>
      <c r="H60" s="41">
        <v>8769.0</v>
      </c>
      <c r="I60" s="41">
        <v>268.223409775</v>
      </c>
      <c r="J60" s="41">
        <v>0.0031603134144688</v>
      </c>
      <c r="K60" s="41">
        <v>0.0031637649085263</v>
      </c>
      <c r="L60" s="41">
        <v>0.0051413902242199</v>
      </c>
      <c r="M60" s="41">
        <v>7.443186326583E-4</v>
      </c>
      <c r="O60" s="41">
        <v>9796.0</v>
      </c>
      <c r="P60" s="41">
        <v>389.697788819001</v>
      </c>
      <c r="Q60" s="41">
        <v>0.0018282815653365</v>
      </c>
      <c r="R60" s="41">
        <v>0.0045961094282665</v>
      </c>
      <c r="S60" s="41">
        <v>0.0074994451662179</v>
      </c>
      <c r="T60" s="41">
        <v>0.0010812662274749</v>
      </c>
    </row>
    <row r="61">
      <c r="A61" s="41">
        <v>7112.0</v>
      </c>
      <c r="B61" s="41">
        <v>297.919004015002</v>
      </c>
      <c r="C61" s="41">
        <v>0.0047125315296009</v>
      </c>
      <c r="D61" s="41">
        <v>0.0035129581072201</v>
      </c>
      <c r="E61" s="41">
        <v>0.00567056148089</v>
      </c>
      <c r="F61" s="41">
        <v>8.264670290805E-4</v>
      </c>
      <c r="H61" s="41">
        <v>8105.0</v>
      </c>
      <c r="I61" s="41">
        <v>246.547208530999</v>
      </c>
      <c r="J61" s="41">
        <v>0.0029056629741636</v>
      </c>
      <c r="K61" s="41">
        <v>0.0029081800529104</v>
      </c>
      <c r="L61" s="41">
        <v>0.0047279298934519</v>
      </c>
      <c r="M61" s="41">
        <v>6.841790273249E-4</v>
      </c>
      <c r="O61" s="41">
        <v>9151.0</v>
      </c>
      <c r="P61" s="41">
        <v>369.068669740001</v>
      </c>
      <c r="Q61" s="41">
        <v>0.0017310395486916</v>
      </c>
      <c r="R61" s="41">
        <v>0.004352979247411</v>
      </c>
      <c r="S61" s="41">
        <v>0.007098922623578</v>
      </c>
      <c r="T61" s="41">
        <v>0.0010240746970055</v>
      </c>
    </row>
    <row r="62">
      <c r="A62" s="41">
        <v>7491.0</v>
      </c>
      <c r="B62" s="41">
        <v>305.203928562001</v>
      </c>
      <c r="C62" s="41">
        <v>0.0048337370246613</v>
      </c>
      <c r="D62" s="41">
        <v>0.0035987317361839</v>
      </c>
      <c r="E62" s="41">
        <v>0.0058220624354239</v>
      </c>
      <c r="F62" s="41">
        <v>8.466475683472E-4</v>
      </c>
      <c r="H62" s="41">
        <v>9486.0</v>
      </c>
      <c r="I62" s="41">
        <v>317.548428707001</v>
      </c>
      <c r="J62" s="41">
        <v>0.003745076058988</v>
      </c>
      <c r="K62" s="41">
        <v>0.0037451686722083</v>
      </c>
      <c r="L62" s="41">
        <v>0.006097694044818</v>
      </c>
      <c r="M62" s="41">
        <v>8.810633942555E-4</v>
      </c>
      <c r="O62" s="41">
        <v>9398.0</v>
      </c>
      <c r="P62" s="41">
        <v>357.279388529001</v>
      </c>
      <c r="Q62" s="41">
        <v>0.0016762029407587</v>
      </c>
      <c r="R62" s="41">
        <v>0.0042139587310089</v>
      </c>
      <c r="S62" s="41">
        <v>0.006875393278088</v>
      </c>
      <c r="T62" s="41">
        <v>9.914052606694E-4</v>
      </c>
    </row>
    <row r="63">
      <c r="A63" s="41">
        <v>6667.0</v>
      </c>
      <c r="B63" s="41">
        <v>233.776954778</v>
      </c>
      <c r="C63" s="41">
        <v>0.0036896152412884</v>
      </c>
      <c r="D63" s="41">
        <v>0.0027569138208839</v>
      </c>
      <c r="E63" s="41">
        <v>0.004431699656468</v>
      </c>
      <c r="F63" s="41">
        <v>6.485752938833E-4</v>
      </c>
      <c r="H63" s="41">
        <v>8422.0</v>
      </c>
      <c r="I63" s="41">
        <v>248.439039982</v>
      </c>
      <c r="J63" s="41">
        <v>0.0029277627344915</v>
      </c>
      <c r="K63" s="41">
        <v>0.0029297699002763</v>
      </c>
      <c r="L63" s="41">
        <v>0.004764567144984</v>
      </c>
      <c r="M63" s="41">
        <v>6.892340068416E-4</v>
      </c>
      <c r="O63" s="41">
        <v>8993.0</v>
      </c>
      <c r="P63" s="41">
        <v>326.842668491</v>
      </c>
      <c r="Q63" s="41">
        <v>0.0015328158876262</v>
      </c>
      <c r="R63" s="41">
        <v>0.003854451683386</v>
      </c>
      <c r="S63" s="41">
        <v>0.006286075028856</v>
      </c>
      <c r="T63" s="41">
        <v>9.06809041311E-4</v>
      </c>
    </row>
    <row r="64">
      <c r="A64" s="41">
        <v>7120.0</v>
      </c>
      <c r="B64" s="41">
        <v>286.177162963998</v>
      </c>
      <c r="C64" s="41">
        <v>0.0045309087823182</v>
      </c>
      <c r="D64" s="41">
        <v>0.0033741683950721</v>
      </c>
      <c r="E64" s="41">
        <v>0.005456269087234</v>
      </c>
      <c r="F64" s="41">
        <v>7.937604651944E-4</v>
      </c>
      <c r="H64" s="41">
        <v>8464.0</v>
      </c>
      <c r="I64" s="41">
        <v>265.845574847997</v>
      </c>
      <c r="J64" s="41">
        <v>0.0031323676393322</v>
      </c>
      <c r="K64" s="41">
        <v>0.0031355981068506</v>
      </c>
      <c r="L64" s="41">
        <v>0.00509616102137</v>
      </c>
      <c r="M64" s="41">
        <v>7.376926501888E-4</v>
      </c>
      <c r="O64" s="41">
        <v>9685.0</v>
      </c>
      <c r="P64" s="41">
        <v>403.005679711001</v>
      </c>
      <c r="Q64" s="41">
        <v>0.001890345938927</v>
      </c>
      <c r="R64" s="41">
        <v>0.0047531272015729</v>
      </c>
      <c r="S64" s="41">
        <v>0.007752802868904</v>
      </c>
      <c r="T64" s="41">
        <v>0.0011182021206583</v>
      </c>
    </row>
    <row r="65">
      <c r="A65" s="41">
        <v>7981.0</v>
      </c>
      <c r="B65" s="41">
        <v>350.896406150997</v>
      </c>
      <c r="C65" s="41">
        <v>0.0055575507809619</v>
      </c>
      <c r="D65" s="41">
        <v>0.0041375842526574</v>
      </c>
      <c r="E65" s="41">
        <v>0.0066938925773319</v>
      </c>
      <c r="F65" s="41">
        <v>9.734328225722E-4</v>
      </c>
      <c r="H65" s="41">
        <v>8907.0</v>
      </c>
      <c r="I65" s="41">
        <v>274.859439850002</v>
      </c>
      <c r="J65" s="41">
        <v>0.0032398804409663</v>
      </c>
      <c r="K65" s="41">
        <v>0.0032417322744347</v>
      </c>
      <c r="L65" s="41">
        <v>0.00527294727391</v>
      </c>
      <c r="M65" s="41">
        <v>7.626322902027E-4</v>
      </c>
      <c r="O65" s="41">
        <v>9898.0</v>
      </c>
      <c r="P65" s="41">
        <v>396.616517032998</v>
      </c>
      <c r="Q65" s="41">
        <v>0.0018601873056248</v>
      </c>
      <c r="R65" s="41">
        <v>0.0046782682314181</v>
      </c>
      <c r="S65" s="41">
        <v>0.00762786165784</v>
      </c>
      <c r="T65" s="41">
        <v>0.0011006425063222</v>
      </c>
    </row>
    <row r="66">
      <c r="A66" s="41">
        <v>6519.0</v>
      </c>
      <c r="B66" s="41">
        <v>234.937625110997</v>
      </c>
      <c r="C66" s="41">
        <v>0.0037117370828582</v>
      </c>
      <c r="D66" s="41">
        <v>0.0027697461540207</v>
      </c>
      <c r="E66" s="41">
        <v>0.0044628116258019</v>
      </c>
      <c r="F66" s="41">
        <v>6.516204569833E-4</v>
      </c>
      <c r="H66" s="41">
        <v>7939.0</v>
      </c>
      <c r="I66" s="41">
        <v>227.284003526998</v>
      </c>
      <c r="J66" s="41">
        <v>0.0026776956887065</v>
      </c>
      <c r="K66" s="41">
        <v>0.0026806146609617</v>
      </c>
      <c r="L66" s="41">
        <v>0.0043562623738959</v>
      </c>
      <c r="M66" s="41">
        <v>6.306336543499E-4</v>
      </c>
      <c r="O66" s="41">
        <v>8993.0</v>
      </c>
      <c r="P66" s="41">
        <v>342.400754589001</v>
      </c>
      <c r="Q66" s="41">
        <v>0.0016058555612617</v>
      </c>
      <c r="R66" s="41">
        <v>0.0040377249525707</v>
      </c>
      <c r="S66" s="41">
        <v>0.0065861077688819</v>
      </c>
      <c r="T66" s="41">
        <v>9.499157633971E-4</v>
      </c>
    </row>
    <row r="67">
      <c r="A67" s="41">
        <v>7150.0</v>
      </c>
      <c r="B67" s="41">
        <v>293.248929221998</v>
      </c>
      <c r="C67" s="41">
        <v>0.0046422609246148</v>
      </c>
      <c r="D67" s="41">
        <v>0.0034580051270054</v>
      </c>
      <c r="E67" s="41">
        <v>0.005589194471352</v>
      </c>
      <c r="F67" s="41">
        <v>8.135237595694E-4</v>
      </c>
      <c r="H67" s="41">
        <v>8613.0</v>
      </c>
      <c r="I67" s="41">
        <v>275.752854546997</v>
      </c>
      <c r="J67" s="41">
        <v>0.003249714260584</v>
      </c>
      <c r="K67" s="41">
        <v>0.0032525929499443</v>
      </c>
      <c r="L67" s="41">
        <v>0.0052876922857059</v>
      </c>
      <c r="M67" s="41">
        <v>7.65185484936E-4</v>
      </c>
      <c r="O67" s="41">
        <v>9411.0</v>
      </c>
      <c r="P67" s="41">
        <v>378.064094773002</v>
      </c>
      <c r="Q67" s="41">
        <v>0.0017728750644435</v>
      </c>
      <c r="R67" s="41">
        <v>0.0044585202416451</v>
      </c>
      <c r="S67" s="41">
        <v>0.00727005442715</v>
      </c>
      <c r="T67" s="41">
        <v>0.0010489195130666</v>
      </c>
    </row>
    <row r="68">
      <c r="A68" s="41">
        <v>6906.0</v>
      </c>
      <c r="B68" s="41">
        <v>262.844650476003</v>
      </c>
      <c r="C68" s="41">
        <v>0.0041557837228105</v>
      </c>
      <c r="D68" s="41">
        <v>0.0030993693636424</v>
      </c>
      <c r="E68" s="41">
        <v>0.004998865943534</v>
      </c>
      <c r="F68" s="41">
        <v>7.29151669011E-4</v>
      </c>
      <c r="H68" s="41">
        <v>8198.0</v>
      </c>
      <c r="I68" s="41">
        <v>243.097243403</v>
      </c>
      <c r="J68" s="41">
        <v>0.002864281292791</v>
      </c>
      <c r="K68" s="41">
        <v>0.0028668927232722</v>
      </c>
      <c r="L68" s="41">
        <v>0.004660436783902</v>
      </c>
      <c r="M68" s="41">
        <v>6.744641178444E-4</v>
      </c>
      <c r="O68" s="41">
        <v>8802.0</v>
      </c>
      <c r="P68" s="41">
        <v>324.084530173</v>
      </c>
      <c r="Q68" s="41">
        <v>0.0015196383873897</v>
      </c>
      <c r="R68" s="41">
        <v>0.0038220969134591</v>
      </c>
      <c r="S68" s="41">
        <v>0.00623107998486</v>
      </c>
      <c r="T68" s="41">
        <v>8.991857598472E-4</v>
      </c>
    </row>
    <row r="69">
      <c r="A69" s="41">
        <v>7466.0</v>
      </c>
      <c r="B69" s="41">
        <v>301.133139739999</v>
      </c>
      <c r="C69" s="41">
        <v>0.0047652387012782</v>
      </c>
      <c r="D69" s="41">
        <v>0.0035510850715736</v>
      </c>
      <c r="E69" s="41">
        <v>0.005735452088358</v>
      </c>
      <c r="F69" s="41">
        <v>8.354058611166E-4</v>
      </c>
      <c r="H69" s="41">
        <v>8411.0</v>
      </c>
      <c r="I69" s="41">
        <v>246.181453068002</v>
      </c>
      <c r="J69" s="41">
        <v>0.0029000162001992</v>
      </c>
      <c r="K69" s="41">
        <v>0.0029036290565772</v>
      </c>
      <c r="L69" s="41">
        <v>0.004717405996144</v>
      </c>
      <c r="M69" s="41">
        <v>6.830845332666E-4</v>
      </c>
      <c r="O69" s="41">
        <v>9268.0</v>
      </c>
      <c r="P69" s="41">
        <v>344.746937576001</v>
      </c>
      <c r="Q69" s="41">
        <v>0.0016169398106346</v>
      </c>
      <c r="R69" s="41">
        <v>0.0040660427367832</v>
      </c>
      <c r="S69" s="41">
        <v>0.006631010582582</v>
      </c>
      <c r="T69" s="41">
        <v>9.56581748986E-4</v>
      </c>
    </row>
    <row r="70">
      <c r="A70" s="41">
        <v>7043.0</v>
      </c>
      <c r="B70" s="41">
        <v>290.063008572</v>
      </c>
      <c r="C70" s="41">
        <v>0.0045910726177472</v>
      </c>
      <c r="D70" s="41">
        <v>0.0034197532078355</v>
      </c>
      <c r="E70" s="41">
        <v>0.0055277130332779</v>
      </c>
      <c r="F70" s="41">
        <v>8.04526965411E-4</v>
      </c>
      <c r="H70" s="41">
        <v>8291.0</v>
      </c>
      <c r="I70" s="41">
        <v>256.624299538001</v>
      </c>
      <c r="J70" s="41">
        <v>0.0030229673263519</v>
      </c>
      <c r="K70" s="41">
        <v>0.0030267005521145</v>
      </c>
      <c r="L70" s="41">
        <v>0.004917417267264</v>
      </c>
      <c r="M70" s="41">
        <v>7.120690601416E-4</v>
      </c>
      <c r="O70" s="41">
        <v>8741.0</v>
      </c>
      <c r="P70" s="41">
        <v>327.029527652997</v>
      </c>
      <c r="Q70" s="41">
        <v>0.0015335318684806</v>
      </c>
      <c r="R70" s="41">
        <v>0.0038568891034125</v>
      </c>
      <c r="S70" s="41">
        <v>0.0062882314194699</v>
      </c>
      <c r="T70" s="41">
        <v>9.073754596027E-4</v>
      </c>
    </row>
    <row r="71">
      <c r="A71" s="41">
        <v>7316.0</v>
      </c>
      <c r="B71" s="41">
        <v>287.656735583001</v>
      </c>
      <c r="C71" s="41">
        <v>0.0045532184169558</v>
      </c>
      <c r="D71" s="41">
        <v>0.0033918465777368</v>
      </c>
      <c r="E71" s="41">
        <v>0.0054817960520999</v>
      </c>
      <c r="F71" s="41">
        <v>7.979436784111E-4</v>
      </c>
      <c r="H71" s="41">
        <v>9314.0</v>
      </c>
      <c r="I71" s="41">
        <v>308.104289854996</v>
      </c>
      <c r="J71" s="41">
        <v>0.0036331830723207</v>
      </c>
      <c r="K71" s="41">
        <v>0.0036332326666958</v>
      </c>
      <c r="L71" s="41">
        <v>0.0059155302879759</v>
      </c>
      <c r="M71" s="41">
        <v>8.547605526333E-4</v>
      </c>
      <c r="O71" s="41">
        <v>9199.0</v>
      </c>
      <c r="P71" s="41">
        <v>339.390287895999</v>
      </c>
      <c r="Q71" s="41">
        <v>0.0015919109637403</v>
      </c>
      <c r="R71" s="41">
        <v>0.0040026498931006</v>
      </c>
      <c r="S71" s="41">
        <v>0.0065290132787619</v>
      </c>
      <c r="T71" s="41">
        <v>9.415835814944E-4</v>
      </c>
    </row>
    <row r="72">
      <c r="A72" s="41">
        <v>6899.0</v>
      </c>
      <c r="B72" s="41">
        <v>269.052991366999</v>
      </c>
      <c r="C72" s="41">
        <v>0.0042573203606898</v>
      </c>
      <c r="D72" s="41">
        <v>0.0031727346495041</v>
      </c>
      <c r="E72" s="41">
        <v>0.0051239046546759</v>
      </c>
      <c r="F72" s="41">
        <v>7.464237645583E-4</v>
      </c>
      <c r="H72" s="41">
        <v>8590.0</v>
      </c>
      <c r="I72" s="41">
        <v>275.259301971</v>
      </c>
      <c r="J72" s="41">
        <v>0.0032436357172531</v>
      </c>
      <c r="K72" s="41">
        <v>0.0032462664954277</v>
      </c>
      <c r="L72" s="41">
        <v>0.0052780833891299</v>
      </c>
      <c r="M72" s="41">
        <v>7.637150881833E-4</v>
      </c>
      <c r="O72" s="41">
        <v>9539.0</v>
      </c>
      <c r="P72" s="41">
        <v>392.785370534998</v>
      </c>
      <c r="Q72" s="41">
        <v>0.0018424866246442</v>
      </c>
      <c r="R72" s="41">
        <v>0.0046327516901943</v>
      </c>
      <c r="S72" s="41">
        <v>0.0075565332674439</v>
      </c>
      <c r="T72" s="41">
        <v>0.0010899148002638</v>
      </c>
    </row>
    <row r="73">
      <c r="A73" s="41">
        <v>7045.0</v>
      </c>
      <c r="B73" s="41">
        <v>270.880059094</v>
      </c>
      <c r="C73" s="41">
        <v>0.004282813457459</v>
      </c>
      <c r="D73" s="41">
        <v>0.0031929853468152</v>
      </c>
      <c r="E73" s="41">
        <v>0.005153042455764</v>
      </c>
      <c r="F73" s="41">
        <v>7.511856852888E-4</v>
      </c>
      <c r="H73" s="41">
        <v>8978.0</v>
      </c>
      <c r="I73" s="41">
        <v>288.010377983999</v>
      </c>
      <c r="J73" s="41">
        <v>0.0033967193942754</v>
      </c>
      <c r="K73" s="41">
        <v>0.0033969865859027</v>
      </c>
      <c r="L73" s="41">
        <v>0.0055302497019739</v>
      </c>
      <c r="M73" s="41">
        <v>7.991797397888E-4</v>
      </c>
      <c r="O73" s="41">
        <v>8904.0</v>
      </c>
      <c r="P73" s="41">
        <v>318.095892204997</v>
      </c>
      <c r="Q73" s="41">
        <v>0.0014915594883636</v>
      </c>
      <c r="R73" s="41">
        <v>0.0037511691585369</v>
      </c>
      <c r="S73" s="41">
        <v>0.006116363504198</v>
      </c>
      <c r="T73" s="41">
        <v>8.824592947916E-4</v>
      </c>
    </row>
    <row r="74">
      <c r="A74" s="41">
        <v>6894.0</v>
      </c>
      <c r="B74" s="41">
        <v>258.017049900001</v>
      </c>
      <c r="C74" s="41">
        <v>0.0040807582748035</v>
      </c>
      <c r="D74" s="41">
        <v>0.0030422735959618</v>
      </c>
      <c r="E74" s="41">
        <v>0.0049100319835779</v>
      </c>
      <c r="F74" s="41">
        <v>7.157182760444E-4</v>
      </c>
      <c r="H74" s="41">
        <v>9110.0</v>
      </c>
      <c r="I74" s="41">
        <v>303.621949667998</v>
      </c>
      <c r="J74" s="41">
        <v>0.0035794831608809</v>
      </c>
      <c r="K74" s="41">
        <v>0.0035808860839103</v>
      </c>
      <c r="L74" s="41">
        <v>0.005826442716706</v>
      </c>
      <c r="M74" s="41">
        <v>8.424264324555E-4</v>
      </c>
      <c r="O74" s="41">
        <v>8604.0</v>
      </c>
      <c r="P74" s="41">
        <v>297.554778056</v>
      </c>
      <c r="Q74" s="41">
        <v>0.0013944299920229</v>
      </c>
      <c r="R74" s="41">
        <v>0.0035091803239764</v>
      </c>
      <c r="S74" s="41">
        <v>0.005715205127716</v>
      </c>
      <c r="T74" s="41">
        <v>8.255732100472E-4</v>
      </c>
    </row>
    <row r="75">
      <c r="A75" s="41">
        <v>7625.0</v>
      </c>
      <c r="B75" s="41">
        <v>338.901363114</v>
      </c>
      <c r="C75" s="41">
        <v>0.0053663464844036</v>
      </c>
      <c r="D75" s="41">
        <v>0.0039961302766979</v>
      </c>
      <c r="E75" s="41">
        <v>0.006462518503344</v>
      </c>
      <c r="F75" s="41">
        <v>9.401198339555E-4</v>
      </c>
      <c r="H75" s="41">
        <v>8199.0</v>
      </c>
      <c r="I75" s="41">
        <v>247.792997145999</v>
      </c>
      <c r="J75" s="41">
        <v>0.0029202294101458</v>
      </c>
      <c r="K75" s="41">
        <v>0.0029220990271569</v>
      </c>
      <c r="L75" s="41">
        <v>0.0047524793575359</v>
      </c>
      <c r="M75" s="41">
        <v>6.874211926555E-4</v>
      </c>
      <c r="O75" s="41">
        <v>9759.0</v>
      </c>
      <c r="P75" s="41">
        <v>401.958998132999</v>
      </c>
      <c r="Q75" s="41">
        <v>0.0018868785440226</v>
      </c>
      <c r="R75" s="41">
        <v>0.0047407435895868</v>
      </c>
      <c r="S75" s="41">
        <v>0.007743085083352</v>
      </c>
      <c r="T75" s="41">
        <v>0.0011153132528888</v>
      </c>
    </row>
    <row r="76">
      <c r="A76" s="41">
        <v>6663.0</v>
      </c>
      <c r="B76" s="41">
        <v>239.646445503</v>
      </c>
      <c r="C76" s="41">
        <v>0.0037860055313245</v>
      </c>
      <c r="D76" s="41">
        <v>0.0028253893268333</v>
      </c>
      <c r="E76" s="41">
        <v>0.004551859474818</v>
      </c>
      <c r="F76" s="41">
        <v>6.646845972277E-4</v>
      </c>
      <c r="H76" s="41">
        <v>8420.0</v>
      </c>
      <c r="I76" s="41">
        <v>260.330021164998</v>
      </c>
      <c r="J76" s="41">
        <v>0.0030675410741412</v>
      </c>
      <c r="K76" s="41">
        <v>0.0030702710651826</v>
      </c>
      <c r="L76" s="41">
        <v>0.0049912537152219</v>
      </c>
      <c r="M76" s="41">
        <v>7.222978454305E-4</v>
      </c>
      <c r="O76" s="41">
        <v>9323.0</v>
      </c>
      <c r="P76" s="41">
        <v>360.935625865</v>
      </c>
      <c r="Q76" s="41">
        <v>0.0016939386342745</v>
      </c>
      <c r="R76" s="41">
        <v>0.004256707201368</v>
      </c>
      <c r="S76" s="41">
        <v>0.006950451949246</v>
      </c>
      <c r="T76" s="41">
        <v>0.0010014230997472</v>
      </c>
    </row>
    <row r="77">
      <c r="A77" s="41">
        <v>7537.0</v>
      </c>
      <c r="B77" s="41">
        <v>323.559783107</v>
      </c>
      <c r="C77" s="41">
        <v>0.0051169658163081</v>
      </c>
      <c r="D77" s="41">
        <v>0.0038153502897285</v>
      </c>
      <c r="E77" s="41">
        <v>0.006156109647106</v>
      </c>
      <c r="F77" s="41">
        <v>8.975939931249E-4</v>
      </c>
      <c r="H77" s="41">
        <v>9918.0</v>
      </c>
      <c r="I77" s="41">
        <v>365.066147808</v>
      </c>
      <c r="J77" s="41">
        <v>0.0043051858118208</v>
      </c>
      <c r="K77" s="41">
        <v>0.0043043696746799</v>
      </c>
      <c r="L77" s="41">
        <v>0.0070107767197279</v>
      </c>
      <c r="M77" s="41">
        <v>0.0010126391603083</v>
      </c>
      <c r="O77" s="41">
        <v>9098.0</v>
      </c>
      <c r="P77" s="41">
        <v>337.985310760002</v>
      </c>
      <c r="Q77" s="41">
        <v>0.001586460578848</v>
      </c>
      <c r="R77" s="41">
        <v>0.0039861761960063</v>
      </c>
      <c r="S77" s="41">
        <v>0.0065099929857679</v>
      </c>
      <c r="T77" s="41">
        <v>9.377954683777E-4</v>
      </c>
    </row>
    <row r="78">
      <c r="A78" s="41">
        <v>6949.0</v>
      </c>
      <c r="B78" s="41">
        <v>260.809810218997</v>
      </c>
      <c r="C78" s="41">
        <v>0.0041250263126364</v>
      </c>
      <c r="D78" s="41">
        <v>0.0030753464900298</v>
      </c>
      <c r="E78" s="41">
        <v>0.004963195081664</v>
      </c>
      <c r="F78" s="41">
        <v>7.235129473444E-4</v>
      </c>
      <c r="H78" s="41">
        <v>8502.0</v>
      </c>
      <c r="I78" s="41">
        <v>254.319451497998</v>
      </c>
      <c r="J78" s="41">
        <v>0.002997452617905</v>
      </c>
      <c r="K78" s="41">
        <v>0.0029997593910332</v>
      </c>
      <c r="L78" s="41">
        <v>0.0048776280687659</v>
      </c>
      <c r="M78" s="41">
        <v>7.057387278083E-4</v>
      </c>
      <c r="O78" s="41">
        <v>9790.0</v>
      </c>
      <c r="P78" s="41">
        <v>388.647853618</v>
      </c>
      <c r="Q78" s="41">
        <v>0.0018243981323018</v>
      </c>
      <c r="R78" s="41">
        <v>0.0045832722404256</v>
      </c>
      <c r="S78" s="41">
        <v>0.0074872823787099</v>
      </c>
      <c r="T78" s="41">
        <v>0.0010782774606944</v>
      </c>
    </row>
    <row r="79">
      <c r="A79" s="41">
        <v>7409.0</v>
      </c>
      <c r="B79" s="41">
        <v>314.139066243998</v>
      </c>
      <c r="C79" s="41">
        <v>0.004971082692248</v>
      </c>
      <c r="D79" s="41">
        <v>0.003703921005813</v>
      </c>
      <c r="E79" s="41">
        <v>0.005983892009332</v>
      </c>
      <c r="F79" s="41">
        <v>8.71367525036E-4</v>
      </c>
      <c r="H79" s="41">
        <v>9750.0</v>
      </c>
      <c r="I79" s="41">
        <v>348.044093103999</v>
      </c>
      <c r="J79" s="41">
        <v>0.0041052064565452</v>
      </c>
      <c r="K79" s="41">
        <v>0.0041048050652756</v>
      </c>
      <c r="L79" s="41">
        <v>0.0066846714588439</v>
      </c>
      <c r="M79" s="41">
        <v>9.656734429666E-4</v>
      </c>
      <c r="O79" s="41">
        <v>8890.0</v>
      </c>
      <c r="P79" s="41">
        <v>324.606337971999</v>
      </c>
      <c r="Q79" s="41">
        <v>0.0015229164403676</v>
      </c>
      <c r="R79" s="41">
        <v>0.0038279446405499</v>
      </c>
      <c r="S79" s="41">
        <v>0.006247477775756</v>
      </c>
      <c r="T79" s="41">
        <v>9.00565878936E-4</v>
      </c>
    </row>
    <row r="80">
      <c r="A80" s="41">
        <v>7503.0</v>
      </c>
      <c r="B80" s="41">
        <v>310.740952987001</v>
      </c>
      <c r="C80" s="41">
        <v>0.0049164076146198</v>
      </c>
      <c r="D80" s="41">
        <v>0.0036638943097111</v>
      </c>
      <c r="E80" s="41">
        <v>0.0059171836226319</v>
      </c>
      <c r="F80" s="41">
        <v>8.619661338611E-4</v>
      </c>
      <c r="H80" s="41">
        <v>8825.0</v>
      </c>
      <c r="I80" s="41">
        <v>273.594677789002</v>
      </c>
      <c r="J80" s="41">
        <v>0.0032253762690952</v>
      </c>
      <c r="K80" s="41">
        <v>0.0032261552410533</v>
      </c>
      <c r="L80" s="41">
        <v>0.0052506283671659</v>
      </c>
      <c r="M80" s="41">
        <v>7.589959182999E-4</v>
      </c>
      <c r="O80" s="41">
        <v>10074.0</v>
      </c>
      <c r="P80" s="41">
        <v>405.456256143003</v>
      </c>
      <c r="Q80" s="41">
        <v>0.0019031802922851</v>
      </c>
      <c r="R80" s="41">
        <v>0.004781808379993</v>
      </c>
      <c r="S80" s="41">
        <v>0.0078098734701159</v>
      </c>
      <c r="T80" s="41">
        <v>0.0011249503026138</v>
      </c>
    </row>
    <row r="81">
      <c r="A81" s="41">
        <v>7318.0</v>
      </c>
      <c r="B81" s="41">
        <v>298.606976249</v>
      </c>
      <c r="C81" s="41">
        <v>0.004724034025645</v>
      </c>
      <c r="D81" s="41">
        <v>0.0035210515111012</v>
      </c>
      <c r="E81" s="41">
        <v>0.0056849909368779</v>
      </c>
      <c r="F81" s="41">
        <v>8.283768612249E-4</v>
      </c>
      <c r="H81" s="41">
        <v>8975.0</v>
      </c>
      <c r="I81" s="41">
        <v>288.707799264</v>
      </c>
      <c r="J81" s="41">
        <v>0.0034027233647118</v>
      </c>
      <c r="K81" s="41">
        <v>0.003404792277534</v>
      </c>
      <c r="L81" s="41">
        <v>0.005537808874688</v>
      </c>
      <c r="M81" s="41">
        <v>8.010070857805E-4</v>
      </c>
      <c r="O81" s="41">
        <v>9283.0</v>
      </c>
      <c r="P81" s="41">
        <v>345.416235108998</v>
      </c>
      <c r="Q81" s="41">
        <v>0.0016210172313418</v>
      </c>
      <c r="R81" s="41">
        <v>0.0040732951538402</v>
      </c>
      <c r="S81" s="41">
        <v>0.0066514522656019</v>
      </c>
      <c r="T81" s="41">
        <v>9.582745021666E-4</v>
      </c>
    </row>
    <row r="82">
      <c r="A82" s="41">
        <v>6877.0</v>
      </c>
      <c r="B82" s="41">
        <v>275.023881404002</v>
      </c>
      <c r="C82" s="41">
        <v>0.0043477421577655</v>
      </c>
      <c r="D82" s="41">
        <v>0.0032426285324264</v>
      </c>
      <c r="E82" s="41">
        <v>0.0052296544614979</v>
      </c>
      <c r="F82" s="41">
        <v>7.628469019416E-4</v>
      </c>
      <c r="H82" s="41">
        <v>8287.0</v>
      </c>
      <c r="I82" s="41">
        <v>259.105097002</v>
      </c>
      <c r="J82" s="41">
        <v>0.0030528706216447</v>
      </c>
      <c r="K82" s="41">
        <v>0.0030557508086688</v>
      </c>
      <c r="L82" s="41">
        <v>0.004967152029274</v>
      </c>
      <c r="M82" s="41">
        <v>7.189113356972E-4</v>
      </c>
      <c r="O82" s="41">
        <v>8716.0</v>
      </c>
      <c r="P82" s="41">
        <v>321.723491077998</v>
      </c>
      <c r="Q82" s="41">
        <v>0.0015092989804452</v>
      </c>
      <c r="R82" s="41">
        <v>0.0037945929634228</v>
      </c>
      <c r="S82" s="41">
        <v>0.0061905060635119</v>
      </c>
      <c r="T82" s="41">
        <v>8.927452882722E-4</v>
      </c>
    </row>
    <row r="83">
      <c r="A83" s="41">
        <v>7586.0</v>
      </c>
      <c r="B83" s="41">
        <v>340.246301037001</v>
      </c>
      <c r="C83" s="41">
        <v>0.0053861805274624</v>
      </c>
      <c r="D83" s="41">
        <v>0.0040115345137799</v>
      </c>
      <c r="E83" s="41">
        <v>0.006485596021806</v>
      </c>
      <c r="F83" s="41">
        <v>9.437679833972E-4</v>
      </c>
      <c r="H83" s="41">
        <v>9635.0</v>
      </c>
      <c r="I83" s="41">
        <v>347.518488609999</v>
      </c>
      <c r="J83" s="41">
        <v>0.0040994932100117</v>
      </c>
      <c r="K83" s="41">
        <v>0.0040982142168895</v>
      </c>
      <c r="L83" s="41">
        <v>0.006676443674484</v>
      </c>
      <c r="M83" s="41">
        <v>9.641323455722E-4</v>
      </c>
      <c r="O83" s="41">
        <v>8909.0</v>
      </c>
      <c r="P83" s="41">
        <v>334.322683285998</v>
      </c>
      <c r="Q83" s="41">
        <v>0.0015687974655189</v>
      </c>
      <c r="R83" s="41">
        <v>0.003942142666511</v>
      </c>
      <c r="S83" s="41">
        <v>0.0064370890385559</v>
      </c>
      <c r="T83" s="41">
        <v>9.274310655999E-4</v>
      </c>
    </row>
    <row r="84">
      <c r="A84" s="41">
        <v>6819.0</v>
      </c>
      <c r="B84" s="41">
        <v>260.88378784</v>
      </c>
      <c r="C84" s="41">
        <v>0.0041239204939694</v>
      </c>
      <c r="D84" s="41">
        <v>0.0030758922859146</v>
      </c>
      <c r="E84" s="41">
        <v>0.004960210634832</v>
      </c>
      <c r="F84" s="41">
        <v>7.236027057722E-4</v>
      </c>
      <c r="H84" s="41">
        <v>7984.0</v>
      </c>
      <c r="I84" s="41">
        <v>228.832830822</v>
      </c>
      <c r="J84" s="41">
        <v>0.0026971852427876</v>
      </c>
      <c r="K84" s="41">
        <v>0.0026987050473841</v>
      </c>
      <c r="L84" s="41">
        <v>0.004389691845084</v>
      </c>
      <c r="M84" s="41">
        <v>6.349216186944E-4</v>
      </c>
      <c r="O84" s="41">
        <v>9066.0</v>
      </c>
      <c r="P84" s="41">
        <v>343.256793481999</v>
      </c>
      <c r="Q84" s="41">
        <v>0.001610517771339</v>
      </c>
      <c r="R84" s="41">
        <v>0.0040483448587686</v>
      </c>
      <c r="S84" s="41">
        <v>0.0066065933408259</v>
      </c>
      <c r="T84" s="41">
        <v>9.524118420333E-4</v>
      </c>
    </row>
    <row r="85">
      <c r="A85" s="41">
        <v>7512.0</v>
      </c>
      <c r="B85" s="41">
        <v>312.298692870997</v>
      </c>
      <c r="C85" s="41">
        <v>0.0049380874835631</v>
      </c>
      <c r="D85" s="41">
        <v>0.0036823638136056</v>
      </c>
      <c r="E85" s="41">
        <v>0.0059404030856519</v>
      </c>
      <c r="F85" s="41">
        <v>8.663278292332E-4</v>
      </c>
      <c r="H85" s="41">
        <v>9704.0</v>
      </c>
      <c r="I85" s="41">
        <v>334.828924189998</v>
      </c>
      <c r="J85" s="41">
        <v>0.0039497834526485</v>
      </c>
      <c r="K85" s="41">
        <v>0.0039492516079125</v>
      </c>
      <c r="L85" s="41">
        <v>0.0064317459787259</v>
      </c>
      <c r="M85" s="41">
        <v>9.291027249722E-4</v>
      </c>
      <c r="O85" s="41">
        <v>10296.0</v>
      </c>
      <c r="P85" s="41">
        <v>425.178539887998</v>
      </c>
      <c r="Q85" s="41">
        <v>0.0019963262690147</v>
      </c>
      <c r="R85" s="41">
        <v>0.0050141705367555</v>
      </c>
      <c r="S85" s="41">
        <v>0.008194116555288</v>
      </c>
      <c r="T85" s="41">
        <v>0.0011796682687249</v>
      </c>
    </row>
    <row r="86">
      <c r="A86" s="41">
        <v>7136.0</v>
      </c>
      <c r="B86" s="41">
        <v>259.359994370999</v>
      </c>
      <c r="C86" s="41">
        <v>0.00409972015125</v>
      </c>
      <c r="D86" s="41">
        <v>0.0030582451214619</v>
      </c>
      <c r="E86" s="41">
        <v>0.004930593111138</v>
      </c>
      <c r="F86" s="41">
        <v>7.194629406583E-4</v>
      </c>
      <c r="H86" s="41">
        <v>9549.0</v>
      </c>
      <c r="I86" s="41">
        <v>309.410750164999</v>
      </c>
      <c r="J86" s="41">
        <v>0.0036478955984942</v>
      </c>
      <c r="K86" s="41">
        <v>0.0036490287178181</v>
      </c>
      <c r="L86" s="41">
        <v>0.0059381511394059</v>
      </c>
      <c r="M86" s="41">
        <v>8.584725791361E-4</v>
      </c>
      <c r="O86" s="41">
        <v>9376.0</v>
      </c>
      <c r="P86" s="41">
        <v>331.101810312</v>
      </c>
      <c r="Q86" s="41">
        <v>0.0015536722163725</v>
      </c>
      <c r="R86" s="41">
        <v>0.0039051209490589</v>
      </c>
      <c r="S86" s="41">
        <v>0.006373840099068</v>
      </c>
      <c r="T86" s="41">
        <v>9.186907793305E-4</v>
      </c>
    </row>
    <row r="87">
      <c r="A87" s="41">
        <v>7318.0</v>
      </c>
      <c r="B87" s="41">
        <v>280.914262133999</v>
      </c>
      <c r="C87" s="41">
        <v>0.0044438806488642</v>
      </c>
      <c r="D87" s="41">
        <v>0.0033116597378582</v>
      </c>
      <c r="E87" s="41">
        <v>0.005348590112202</v>
      </c>
      <c r="F87" s="41">
        <v>7.790898220694E-4</v>
      </c>
      <c r="H87" s="41">
        <v>8672.0</v>
      </c>
      <c r="I87" s="41">
        <v>257.321617093999</v>
      </c>
      <c r="J87" s="41">
        <v>0.0030313058477009</v>
      </c>
      <c r="K87" s="41">
        <v>0.0030348228213347</v>
      </c>
      <c r="L87" s="41">
        <v>0.004931264222786</v>
      </c>
      <c r="M87" s="41">
        <v>7.139769704471E-4</v>
      </c>
      <c r="O87" s="41">
        <v>9460.0</v>
      </c>
      <c r="P87" s="41">
        <v>347.972542269999</v>
      </c>
      <c r="Q87" s="41">
        <v>0.0016326815840635</v>
      </c>
      <c r="R87" s="41">
        <v>0.0041035217117945</v>
      </c>
      <c r="S87" s="41">
        <v>0.0066982270252439</v>
      </c>
      <c r="T87" s="41">
        <v>9.653406984221E-4</v>
      </c>
    </row>
    <row r="88">
      <c r="A88" s="41">
        <v>7414.0</v>
      </c>
      <c r="B88" s="41">
        <v>306.807416593001</v>
      </c>
      <c r="C88" s="41">
        <v>0.0048514870787348</v>
      </c>
      <c r="D88" s="41">
        <v>0.0036175545655404</v>
      </c>
      <c r="E88" s="41">
        <v>0.005836523002548</v>
      </c>
      <c r="F88" s="41">
        <v>8.510674323361E-4</v>
      </c>
      <c r="H88" s="41">
        <v>8357.0</v>
      </c>
      <c r="I88" s="41">
        <v>245.159424183999</v>
      </c>
      <c r="J88" s="41">
        <v>0.002888293072001</v>
      </c>
      <c r="K88" s="41">
        <v>0.0028911790336304</v>
      </c>
      <c r="L88" s="41">
        <v>0.004699182092676</v>
      </c>
      <c r="M88" s="41">
        <v>6.801895925583E-4</v>
      </c>
      <c r="O88" s="41">
        <v>9288.0</v>
      </c>
      <c r="P88" s="41">
        <v>346.481457308</v>
      </c>
      <c r="Q88" s="41">
        <v>0.0016260738797302</v>
      </c>
      <c r="R88" s="41">
        <v>0.0040863740639966</v>
      </c>
      <c r="S88" s="41">
        <v>0.0066717136707</v>
      </c>
      <c r="T88" s="41">
        <v>9.613785459416E-4</v>
      </c>
    </row>
    <row r="89">
      <c r="A89" s="41">
        <v>7230.0</v>
      </c>
      <c r="B89" s="41">
        <v>298.254102077</v>
      </c>
      <c r="C89" s="41">
        <v>0.0047144108798593</v>
      </c>
      <c r="D89" s="41">
        <v>0.0035170456277838</v>
      </c>
      <c r="E89" s="41">
        <v>0.005669501202264</v>
      </c>
      <c r="F89" s="41">
        <v>8.274317542666E-4</v>
      </c>
      <c r="H89" s="41">
        <v>8582.0</v>
      </c>
      <c r="I89" s="41">
        <v>264.122137396996</v>
      </c>
      <c r="J89" s="41">
        <v>0.003113814841367</v>
      </c>
      <c r="K89" s="41">
        <v>0.0031150197190388</v>
      </c>
      <c r="L89" s="41">
        <v>0.0050684771103339</v>
      </c>
      <c r="M89" s="41">
        <v>7.328295034111E-4</v>
      </c>
      <c r="O89" s="41">
        <v>9240.0</v>
      </c>
      <c r="P89" s="41">
        <v>345.371049612</v>
      </c>
      <c r="Q89" s="41">
        <v>0.0016216171879277</v>
      </c>
      <c r="R89" s="41">
        <v>0.0040733523864533</v>
      </c>
      <c r="S89" s="41">
        <v>0.0066556903245479</v>
      </c>
      <c r="T89" s="41">
        <v>9.583032275333E-4</v>
      </c>
    </row>
    <row r="90">
      <c r="A90" s="41">
        <v>6612.0</v>
      </c>
      <c r="B90" s="41">
        <v>248.133051374999</v>
      </c>
      <c r="C90" s="41">
        <v>0.0039174634737484</v>
      </c>
      <c r="D90" s="41">
        <v>0.0029254272475138</v>
      </c>
      <c r="E90" s="41">
        <v>0.0047075090437819</v>
      </c>
      <c r="F90" s="41">
        <v>6.882296678583E-4</v>
      </c>
      <c r="H90" s="41">
        <v>8093.0</v>
      </c>
      <c r="I90" s="41">
        <v>238.919205237001</v>
      </c>
      <c r="J90" s="41">
        <v>0.0028126320723652</v>
      </c>
      <c r="K90" s="41">
        <v>0.0028178515686368</v>
      </c>
      <c r="L90" s="41">
        <v>0.004573116714046</v>
      </c>
      <c r="M90" s="41">
        <v>6.629291675111E-4</v>
      </c>
      <c r="O90" s="41">
        <v>8958.0</v>
      </c>
      <c r="P90" s="41">
        <v>336.240321223998</v>
      </c>
      <c r="Q90" s="41">
        <v>0.0015773957488556</v>
      </c>
      <c r="R90" s="41">
        <v>0.0039649668976069</v>
      </c>
      <c r="S90" s="41">
        <v>0.0064708837878141</v>
      </c>
      <c r="T90" s="41">
        <v>9.327817736417E-4</v>
      </c>
    </row>
    <row r="91">
      <c r="A91" s="41">
        <v>7179.0</v>
      </c>
      <c r="B91" s="41">
        <v>297.471140885998</v>
      </c>
      <c r="C91" s="41">
        <v>0.0047013681443152</v>
      </c>
      <c r="D91" s="41">
        <v>0.0035074518890798</v>
      </c>
      <c r="E91" s="41">
        <v>0.005653655356254</v>
      </c>
      <c r="F91" s="41">
        <v>8.25166992086E-4</v>
      </c>
      <c r="H91" s="41">
        <v>8450.0</v>
      </c>
      <c r="I91" s="41">
        <v>258.105468597998</v>
      </c>
      <c r="J91" s="41">
        <v>0.0030412834252881</v>
      </c>
      <c r="K91" s="41">
        <v>0.0030439546461326</v>
      </c>
      <c r="L91" s="41">
        <v>0.004948540625496</v>
      </c>
      <c r="M91" s="41">
        <v>7.161392721166E-4</v>
      </c>
      <c r="O91" s="41">
        <v>9171.0</v>
      </c>
      <c r="P91" s="41">
        <v>347.604576362002</v>
      </c>
      <c r="Q91" s="41">
        <v>0.0016316981864188</v>
      </c>
      <c r="R91" s="41">
        <v>0.004099500668727</v>
      </c>
      <c r="S91" s="41">
        <v>0.0066960775790799</v>
      </c>
      <c r="T91" s="41">
        <v>9.644236280528E-4</v>
      </c>
    </row>
    <row r="92">
      <c r="A92" s="41">
        <v>6569.0</v>
      </c>
      <c r="B92" s="41">
        <v>242.568097098999</v>
      </c>
      <c r="C92" s="41">
        <v>0.0038258554200601</v>
      </c>
      <c r="D92" s="41">
        <v>0.0028603026805444</v>
      </c>
      <c r="E92" s="41">
        <v>0.004593369508026</v>
      </c>
      <c r="F92" s="41">
        <v>6.729071910166E-4</v>
      </c>
      <c r="H92" s="41">
        <v>8458.0</v>
      </c>
      <c r="I92" s="41">
        <v>264.693675441998</v>
      </c>
      <c r="J92" s="41">
        <v>0.0031186942408031</v>
      </c>
      <c r="K92" s="41">
        <v>0.0031216563778207</v>
      </c>
      <c r="L92" s="41">
        <v>0.0050742418371679</v>
      </c>
      <c r="M92" s="41">
        <v>7.344001488555E-4</v>
      </c>
      <c r="O92" s="41">
        <v>8978.0</v>
      </c>
      <c r="P92" s="41">
        <v>335.904573269999</v>
      </c>
      <c r="Q92" s="41">
        <v>0.0015763562372285</v>
      </c>
      <c r="R92" s="41">
        <v>0.0039614327421897</v>
      </c>
      <c r="S92" s="41">
        <v>0.0064677265630659</v>
      </c>
      <c r="T92" s="41">
        <v>9.319811685944E-4</v>
      </c>
    </row>
    <row r="93">
      <c r="A93" s="41">
        <v>7842.0</v>
      </c>
      <c r="B93" s="41">
        <v>360.211702413998</v>
      </c>
      <c r="C93" s="41">
        <v>0.0057000411749321</v>
      </c>
      <c r="D93" s="41">
        <v>0.0042472459408305</v>
      </c>
      <c r="E93" s="41">
        <v>0.0068611249333399</v>
      </c>
      <c r="F93" s="41">
        <v>9.992055993472E-4</v>
      </c>
      <c r="H93" s="41">
        <v>8728.0</v>
      </c>
      <c r="I93" s="41">
        <v>282.050356133</v>
      </c>
      <c r="J93" s="41">
        <v>0.0033233973992641</v>
      </c>
      <c r="K93" s="41">
        <v>0.0033262377625681</v>
      </c>
      <c r="L93" s="41">
        <v>0.0054076796039179</v>
      </c>
      <c r="M93" s="41">
        <v>7.825430703055E-4</v>
      </c>
      <c r="O93" s="41">
        <v>9396.0</v>
      </c>
      <c r="P93" s="41">
        <v>366.998223742</v>
      </c>
      <c r="Q93" s="41">
        <v>0.0017228087728349</v>
      </c>
      <c r="R93" s="41">
        <v>0.0043282165835472</v>
      </c>
      <c r="S93" s="41">
        <v>0.007070192045038</v>
      </c>
      <c r="T93" s="41">
        <v>0.0010182469569388</v>
      </c>
    </row>
    <row r="94">
      <c r="A94" s="41">
        <v>7819.0</v>
      </c>
      <c r="B94" s="41">
        <v>340.368962647997</v>
      </c>
      <c r="C94" s="41">
        <v>0.0053848627131298</v>
      </c>
      <c r="D94" s="41">
        <v>0.0040139826836972</v>
      </c>
      <c r="E94" s="41">
        <v>0.0064797893504939</v>
      </c>
      <c r="F94" s="41">
        <v>9.443272878527E-4</v>
      </c>
      <c r="H94" s="41">
        <v>8678.0</v>
      </c>
      <c r="I94" s="41">
        <v>258.569390061999</v>
      </c>
      <c r="J94" s="41">
        <v>0.0030473022160147</v>
      </c>
      <c r="K94" s="41">
        <v>0.0030490177839465</v>
      </c>
      <c r="L94" s="41">
        <v>0.004959545356522</v>
      </c>
      <c r="M94" s="41">
        <v>7.173060511222E-4</v>
      </c>
      <c r="O94" s="41">
        <v>10284.0</v>
      </c>
      <c r="P94" s="41">
        <v>418.080080569998</v>
      </c>
      <c r="Q94" s="41">
        <v>0.0019625549794989</v>
      </c>
      <c r="R94" s="41">
        <v>0.0049307805923883</v>
      </c>
      <c r="S94" s="41">
        <v>0.0080537806096859</v>
      </c>
      <c r="T94" s="41">
        <v>0.0011599971681472</v>
      </c>
    </row>
    <row r="95">
      <c r="A95" s="41">
        <v>7337.0</v>
      </c>
      <c r="B95" s="41">
        <v>291.712209483001</v>
      </c>
      <c r="C95" s="43">
        <v>3.85649872714688E-5</v>
      </c>
      <c r="D95" s="41">
        <v>0.0034397192888679</v>
      </c>
      <c r="E95" s="41">
        <v>0.005545704714338</v>
      </c>
      <c r="F95" s="41">
        <v>8.092191038944E-4</v>
      </c>
      <c r="H95" s="41">
        <v>8402.0</v>
      </c>
      <c r="I95" s="41">
        <v>241.571174439999</v>
      </c>
      <c r="J95" s="41">
        <v>0.0028472830128375</v>
      </c>
      <c r="K95" s="41">
        <v>0.0028494621994998</v>
      </c>
      <c r="L95" s="41">
        <v>0.004633285095514</v>
      </c>
      <c r="M95" s="41">
        <v>6.703722055361E-4</v>
      </c>
      <c r="O95" s="41">
        <v>9672.0</v>
      </c>
      <c r="P95" s="41">
        <v>371.378834849994</v>
      </c>
      <c r="Q95" s="41">
        <v>0.0017435077236965</v>
      </c>
      <c r="R95" s="41">
        <v>0.0043802414975742</v>
      </c>
      <c r="S95" s="41">
        <v>0.007155084612952</v>
      </c>
      <c r="T95" s="41">
        <v>0.0010305112924361</v>
      </c>
    </row>
    <row r="96">
      <c r="A96" s="41">
        <v>7471.0</v>
      </c>
      <c r="B96" s="41">
        <v>299.960761518999</v>
      </c>
      <c r="C96" s="41">
        <v>0.0047423014767734</v>
      </c>
      <c r="D96" s="41">
        <v>0.0035370535375409</v>
      </c>
      <c r="E96" s="41">
        <v>0.0057040328965559</v>
      </c>
      <c r="F96" s="41">
        <v>8.321351494638E-4</v>
      </c>
      <c r="H96" s="41">
        <v>9078.0</v>
      </c>
      <c r="I96" s="41">
        <v>283.490956022</v>
      </c>
      <c r="J96" s="41">
        <v>0.0033427199045632</v>
      </c>
      <c r="K96" s="41">
        <v>0.0033436103712598</v>
      </c>
      <c r="L96" s="41">
        <v>0.005441547686568</v>
      </c>
      <c r="M96" s="41">
        <v>7.866318611555E-4</v>
      </c>
      <c r="O96" s="41">
        <v>9585.0</v>
      </c>
      <c r="P96" s="41">
        <v>356.796760842</v>
      </c>
      <c r="Q96" s="41">
        <v>0.0016744011093462</v>
      </c>
      <c r="R96" s="41">
        <v>0.0042083333308624</v>
      </c>
      <c r="S96" s="41">
        <v>0.0068693716066039</v>
      </c>
      <c r="T96" s="41">
        <v>9.900661434527E-4</v>
      </c>
    </row>
    <row r="97">
      <c r="A97" s="41">
        <v>6824.0</v>
      </c>
      <c r="B97" s="41">
        <v>261.805103184</v>
      </c>
      <c r="C97" s="41">
        <v>0.004132976969589</v>
      </c>
      <c r="D97" s="41">
        <v>0.0030864916208137</v>
      </c>
      <c r="E97" s="41">
        <v>0.004966322306388</v>
      </c>
      <c r="F97" s="41">
        <v>7.261287482749E-4</v>
      </c>
      <c r="H97" s="41">
        <v>8990.0</v>
      </c>
      <c r="I97" s="41">
        <v>297.751122802998</v>
      </c>
      <c r="J97" s="41">
        <v>0.0035084069211841</v>
      </c>
      <c r="K97" s="41">
        <v>0.0035117647360256</v>
      </c>
      <c r="L97" s="41">
        <v>0.0057082934555199</v>
      </c>
      <c r="M97" s="41">
        <v>8.261721115194E-4</v>
      </c>
      <c r="O97" s="41">
        <v>9137.0</v>
      </c>
      <c r="P97" s="41">
        <v>338.404128891998</v>
      </c>
      <c r="Q97" s="41">
        <v>0.0015881301115199</v>
      </c>
      <c r="R97" s="41">
        <v>0.0039908727598451</v>
      </c>
      <c r="S97" s="41">
        <v>0.006516269935234</v>
      </c>
      <c r="T97" s="41">
        <v>9.388546382722E-4</v>
      </c>
    </row>
    <row r="98">
      <c r="A98" s="41">
        <v>7473.0</v>
      </c>
      <c r="B98" s="41">
        <v>318.988391557999</v>
      </c>
      <c r="C98" s="41">
        <v>0.005042329277994</v>
      </c>
      <c r="D98" s="41">
        <v>0.003760915779634</v>
      </c>
      <c r="E98" s="41">
        <v>0.006064836518532</v>
      </c>
      <c r="F98" s="41">
        <v>8.847646023889E-4</v>
      </c>
      <c r="H98" s="41">
        <v>8694.0</v>
      </c>
      <c r="I98" s="41">
        <v>271.145381942998</v>
      </c>
      <c r="J98" s="41">
        <v>0.0031963197913748</v>
      </c>
      <c r="K98" s="41">
        <v>0.0031979563319972</v>
      </c>
      <c r="L98" s="41">
        <v>0.00520229166183</v>
      </c>
      <c r="M98" s="41">
        <v>7.523290782639E-4</v>
      </c>
      <c r="O98" s="41">
        <v>8771.0</v>
      </c>
      <c r="P98" s="41">
        <v>305.928990332999</v>
      </c>
      <c r="Q98" s="41">
        <v>0.0014354793541613</v>
      </c>
      <c r="R98" s="41">
        <v>0.0036080614955591</v>
      </c>
      <c r="S98" s="41">
        <v>0.0058889091555679</v>
      </c>
      <c r="T98" s="41">
        <v>8.488396452888E-4</v>
      </c>
    </row>
    <row r="99">
      <c r="A99" s="41">
        <v>6916.0</v>
      </c>
      <c r="B99" s="41">
        <v>267.584891130998</v>
      </c>
      <c r="C99" s="41">
        <v>0.0042240847060106</v>
      </c>
      <c r="D99" s="41">
        <v>0.0031552436497902</v>
      </c>
      <c r="E99" s="41">
        <v>0.005074925448826</v>
      </c>
      <c r="F99" s="41">
        <v>7.42297422075E-4</v>
      </c>
      <c r="H99" s="41">
        <v>8456.0</v>
      </c>
      <c r="I99" s="41">
        <v>255.825262014997</v>
      </c>
      <c r="J99" s="41">
        <v>0.003013687735056</v>
      </c>
      <c r="K99" s="41">
        <v>0.0030167854393423</v>
      </c>
      <c r="L99" s="41">
        <v>0.004903106978038</v>
      </c>
      <c r="M99" s="41">
        <v>7.097225982222E-4</v>
      </c>
      <c r="O99" s="41">
        <v>9418.0</v>
      </c>
      <c r="P99" s="41">
        <v>362.809243399999</v>
      </c>
      <c r="Q99" s="41">
        <v>0.0017025970597395</v>
      </c>
      <c r="R99" s="41">
        <v>0.0042790329714852</v>
      </c>
      <c r="S99" s="41">
        <v>0.006985274199326</v>
      </c>
      <c r="T99" s="41">
        <v>0.0010066782252776</v>
      </c>
    </row>
    <row r="100">
      <c r="A100" s="41">
        <v>2825.0</v>
      </c>
      <c r="B100" s="41">
        <v>103.920585258998</v>
      </c>
      <c r="C100" s="43">
        <v>1.37100049352062E-5</v>
      </c>
      <c r="D100" s="41">
        <v>0.00122520323420478</v>
      </c>
      <c r="E100" s="41">
        <v>0.00196857963041796</v>
      </c>
      <c r="F100" s="41">
        <v>2.88251354438883E-4</v>
      </c>
      <c r="H100" s="41">
        <v>3375.0</v>
      </c>
      <c r="I100" s="41">
        <v>93.0084233449997</v>
      </c>
      <c r="J100" s="41">
        <v>0.0010949880027476</v>
      </c>
      <c r="K100" s="41">
        <v>0.00109676633752434</v>
      </c>
      <c r="L100" s="41">
        <v>0.001780694757888</v>
      </c>
      <c r="M100" s="41">
        <v>2.58008051075012E-4</v>
      </c>
      <c r="O100" s="41">
        <v>3761.0</v>
      </c>
      <c r="P100" s="41">
        <v>129.552794591996</v>
      </c>
      <c r="Q100" s="41">
        <v>6.07822977998835E-4</v>
      </c>
      <c r="R100" s="41">
        <v>0.00152781351630078</v>
      </c>
      <c r="S100" s="41">
        <v>0.00249347838366986</v>
      </c>
      <c r="T100" s="41">
        <v>3.59419815561098E-4</v>
      </c>
    </row>
    <row r="101">
      <c r="A101" s="44">
        <f t="shared" ref="A101:F101" si="1">SUM(A2:A100)</f>
        <v>709185</v>
      </c>
      <c r="B101" s="44">
        <f t="shared" si="1"/>
        <v>28195.24269</v>
      </c>
      <c r="C101" s="44">
        <f t="shared" si="1"/>
        <v>0.4402128494</v>
      </c>
      <c r="D101" s="44">
        <f t="shared" si="1"/>
        <v>0.3324698477</v>
      </c>
      <c r="E101" s="44">
        <f t="shared" si="1"/>
        <v>0.5375445648</v>
      </c>
      <c r="F101" s="44">
        <f t="shared" si="1"/>
        <v>0.07821653128</v>
      </c>
      <c r="H101" s="44">
        <f t="shared" ref="H101:M101" si="2">SUM(H2:H100)</f>
        <v>845761</v>
      </c>
      <c r="I101" s="44">
        <f t="shared" si="2"/>
        <v>26224.14795</v>
      </c>
      <c r="J101" s="44">
        <f t="shared" si="2"/>
        <v>0.3091451271</v>
      </c>
      <c r="K101" s="44">
        <f t="shared" si="2"/>
        <v>0.3092901815</v>
      </c>
      <c r="L101" s="44">
        <f t="shared" si="2"/>
        <v>0.50317494</v>
      </c>
      <c r="M101" s="44">
        <f t="shared" si="2"/>
        <v>0.07276376273</v>
      </c>
      <c r="O101" s="44">
        <f t="shared" ref="O101:T101" si="3">SUM(O2:O100)</f>
        <v>903563</v>
      </c>
      <c r="P101" s="44">
        <f t="shared" si="3"/>
        <v>34302.33651</v>
      </c>
      <c r="Q101" s="44">
        <f t="shared" si="3"/>
        <v>0.1609241491</v>
      </c>
      <c r="R101" s="44">
        <f t="shared" si="3"/>
        <v>0.4045614025</v>
      </c>
      <c r="S101" s="44">
        <f t="shared" si="3"/>
        <v>0.6600765947</v>
      </c>
      <c r="T101" s="44">
        <f t="shared" si="3"/>
        <v>0.09517716445</v>
      </c>
    </row>
  </sheetData>
  <mergeCells count="3">
    <mergeCell ref="A1:F1"/>
    <mergeCell ref="H1:M1"/>
    <mergeCell ref="O1:T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8" max="8" width="16.5"/>
    <col customWidth="1" min="15" max="15" width="15.25"/>
  </cols>
  <sheetData>
    <row r="1">
      <c r="A1" s="40" t="s">
        <v>9</v>
      </c>
      <c r="H1" s="40" t="s">
        <v>32</v>
      </c>
      <c r="O1" s="40" t="s">
        <v>10</v>
      </c>
    </row>
    <row r="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15</v>
      </c>
      <c r="T2" s="20" t="s">
        <v>16</v>
      </c>
    </row>
    <row r="3">
      <c r="A3" s="41">
        <v>7607.0</v>
      </c>
      <c r="B3" s="41">
        <v>311.576625512</v>
      </c>
      <c r="C3" s="41">
        <v>0.0036700758743518</v>
      </c>
      <c r="D3" s="41">
        <v>0.0036753469136395</v>
      </c>
      <c r="E3" s="41">
        <v>0.0059691611642139</v>
      </c>
      <c r="F3" s="41">
        <v>8.646569910083E-4</v>
      </c>
      <c r="H3" s="41">
        <v>8601.0</v>
      </c>
      <c r="I3" s="41">
        <v>279.057711483</v>
      </c>
      <c r="J3" s="41">
        <v>0.0044080467491112</v>
      </c>
      <c r="K3" s="41">
        <v>0.0032918238341486</v>
      </c>
      <c r="L3" s="41">
        <v>0.005296963404234</v>
      </c>
      <c r="M3" s="41">
        <v>7.744368990888E-4</v>
      </c>
      <c r="O3" s="41">
        <v>8696.0</v>
      </c>
      <c r="P3" s="41">
        <v>303.423546387</v>
      </c>
      <c r="Q3" s="41">
        <v>0.0035758329615537</v>
      </c>
      <c r="R3" s="41">
        <v>0.0035795415273006</v>
      </c>
      <c r="S3" s="41">
        <v>0.005817628820766</v>
      </c>
      <c r="T3" s="41">
        <v>8.421326359027E-4</v>
      </c>
    </row>
    <row r="4">
      <c r="A4" s="41">
        <v>8087.0</v>
      </c>
      <c r="B4" s="41">
        <v>354.728499644999</v>
      </c>
      <c r="C4" s="41">
        <v>0.0041908517303295</v>
      </c>
      <c r="D4" s="41">
        <v>0.0041845007444125</v>
      </c>
      <c r="E4" s="41">
        <v>0.006831450465156</v>
      </c>
      <c r="F4" s="41">
        <v>9.844417307916E-4</v>
      </c>
      <c r="H4" s="41">
        <v>8443.0</v>
      </c>
      <c r="I4" s="41">
        <v>269.331577674</v>
      </c>
      <c r="J4" s="41">
        <v>0.0042665754319496</v>
      </c>
      <c r="K4" s="41">
        <v>0.0031770598903236</v>
      </c>
      <c r="L4" s="41">
        <v>0.0051382254994659</v>
      </c>
      <c r="M4" s="41">
        <v>7.474365690527E-4</v>
      </c>
      <c r="O4" s="41">
        <v>8594.0</v>
      </c>
      <c r="P4" s="41">
        <v>288.871168729</v>
      </c>
      <c r="Q4" s="41">
        <v>0.0034140811251146</v>
      </c>
      <c r="R4" s="41">
        <v>0.0034074924779173</v>
      </c>
      <c r="S4" s="41">
        <v>0.0055669836202499</v>
      </c>
      <c r="T4" s="41">
        <v>8.016547859527E-4</v>
      </c>
    </row>
    <row r="5">
      <c r="A5" s="41">
        <v>8806.0</v>
      </c>
      <c r="B5" s="41">
        <v>408.368976235</v>
      </c>
      <c r="C5" s="41">
        <v>0.0048249770076086</v>
      </c>
      <c r="D5" s="41">
        <v>0.0048169445926069</v>
      </c>
      <c r="E5" s="41">
        <v>0.0078660037927979</v>
      </c>
      <c r="F5" s="41">
        <v>0.0011332454924333</v>
      </c>
      <c r="H5" s="41">
        <v>8257.0</v>
      </c>
      <c r="I5" s="41">
        <v>257.645946007</v>
      </c>
      <c r="J5" s="41">
        <v>0.0040723938060365</v>
      </c>
      <c r="K5" s="41">
        <v>0.0030390218945409</v>
      </c>
      <c r="L5" s="41">
        <v>0.0048962550281119</v>
      </c>
      <c r="M5" s="41">
        <v>7.149797901777E-4</v>
      </c>
      <c r="O5" s="41">
        <v>9557.0</v>
      </c>
      <c r="P5" s="41">
        <v>366.026847227</v>
      </c>
      <c r="Q5" s="41">
        <v>0.0043272420465015</v>
      </c>
      <c r="R5" s="41">
        <v>0.0043176743770888</v>
      </c>
      <c r="S5" s="41">
        <v>0.0070574931459899</v>
      </c>
      <c r="T5" s="41">
        <v>0.0010157754755138</v>
      </c>
    </row>
    <row r="6">
      <c r="A6" s="41">
        <v>9229.0</v>
      </c>
      <c r="B6" s="41">
        <v>425.862417845999</v>
      </c>
      <c r="C6" s="41">
        <v>0.0050272330797103</v>
      </c>
      <c r="D6" s="41">
        <v>0.0050228502483597</v>
      </c>
      <c r="E6" s="41">
        <v>0.0081908148859799</v>
      </c>
      <c r="F6" s="41">
        <v>0.0011816836494638</v>
      </c>
      <c r="H6" s="41">
        <v>9241.0</v>
      </c>
      <c r="I6" s="41">
        <v>305.727757510999</v>
      </c>
      <c r="J6" s="41">
        <v>0.0048475439984644</v>
      </c>
      <c r="K6" s="41">
        <v>0.0036059679914236</v>
      </c>
      <c r="L6" s="41">
        <v>0.005842459118408</v>
      </c>
      <c r="M6" s="41">
        <v>8.483423114611E-4</v>
      </c>
      <c r="O6" s="41">
        <v>10718.0</v>
      </c>
      <c r="P6" s="41">
        <v>441.2730611</v>
      </c>
      <c r="Q6" s="41">
        <v>0.0052194853816315</v>
      </c>
      <c r="R6" s="41">
        <v>0.0052048773738402</v>
      </c>
      <c r="S6" s="41">
        <v>0.00851645681316</v>
      </c>
      <c r="T6" s="41">
        <v>0.0012245239717944</v>
      </c>
    </row>
    <row r="7">
      <c r="A7" s="41">
        <v>7807.0</v>
      </c>
      <c r="B7" s="41">
        <v>332.809168099</v>
      </c>
      <c r="C7" s="41">
        <v>0.0039321722534226</v>
      </c>
      <c r="D7" s="41">
        <v>0.0039257638596506</v>
      </c>
      <c r="E7" s="41">
        <v>0.0064103329060399</v>
      </c>
      <c r="F7" s="41">
        <v>9.235743433472E-4</v>
      </c>
      <c r="H7" s="41">
        <v>8162.0</v>
      </c>
      <c r="I7" s="41">
        <v>259.864612676</v>
      </c>
      <c r="J7" s="41">
        <v>0.0041129271869714</v>
      </c>
      <c r="K7" s="41">
        <v>0.0030655210178562</v>
      </c>
      <c r="L7" s="41">
        <v>0.004949639793042</v>
      </c>
      <c r="M7" s="41">
        <v>7.211937026916E-4</v>
      </c>
      <c r="O7" s="41">
        <v>8275.0</v>
      </c>
      <c r="P7" s="41">
        <v>274.813509114</v>
      </c>
      <c r="Q7" s="41">
        <v>0.0032476979275802</v>
      </c>
      <c r="R7" s="41">
        <v>0.0032411765492868</v>
      </c>
      <c r="S7" s="41">
        <v>0.0052959959034599</v>
      </c>
      <c r="T7" s="41">
        <v>7.625245516833E-4</v>
      </c>
    </row>
    <row r="8">
      <c r="A8" s="41">
        <v>7712.0</v>
      </c>
      <c r="B8" s="41">
        <v>324.167613742999</v>
      </c>
      <c r="C8" s="41">
        <v>0.0038281610018338</v>
      </c>
      <c r="D8" s="41">
        <v>0.0038237501411111</v>
      </c>
      <c r="E8" s="41">
        <v>0.00623849943524</v>
      </c>
      <c r="F8" s="41">
        <v>8.995880683694E-4</v>
      </c>
      <c r="H8" s="41">
        <v>8075.0</v>
      </c>
      <c r="I8" s="41">
        <v>252.50536691</v>
      </c>
      <c r="J8" s="41">
        <v>0.0039965614409748</v>
      </c>
      <c r="K8" s="41">
        <v>0.0029784863520666</v>
      </c>
      <c r="L8" s="41">
        <v>0.0048099616257439</v>
      </c>
      <c r="M8" s="41">
        <v>7.007316250527E-4</v>
      </c>
      <c r="O8" s="41">
        <v>8016.0</v>
      </c>
      <c r="P8" s="41">
        <v>252.351379964</v>
      </c>
      <c r="Q8" s="41">
        <v>0.002980413056716</v>
      </c>
      <c r="R8" s="41">
        <v>0.002976477639327</v>
      </c>
      <c r="S8" s="41">
        <v>0.0048575816638399</v>
      </c>
      <c r="T8" s="41">
        <v>7.002745522472E-4</v>
      </c>
    </row>
    <row r="9">
      <c r="A9" s="41">
        <v>7621.0</v>
      </c>
      <c r="B9" s="41">
        <v>305.144392717999</v>
      </c>
      <c r="C9" s="41">
        <v>0.003604048501299</v>
      </c>
      <c r="D9" s="41">
        <v>0.0035991718355604</v>
      </c>
      <c r="E9" s="41">
        <v>0.0058741677548859</v>
      </c>
      <c r="F9" s="41">
        <v>8.467578443305E-4</v>
      </c>
      <c r="H9" s="41">
        <v>8620.0</v>
      </c>
      <c r="I9" s="41">
        <v>286.634894815</v>
      </c>
      <c r="J9" s="41">
        <v>0.004543581139034</v>
      </c>
      <c r="K9" s="41">
        <v>0.0033810452902631</v>
      </c>
      <c r="L9" s="41">
        <v>0.0054746527130519</v>
      </c>
      <c r="M9" s="41">
        <v>7.954175616777E-4</v>
      </c>
      <c r="O9" s="41">
        <v>9155.0</v>
      </c>
      <c r="P9" s="41">
        <v>331.191078978999</v>
      </c>
      <c r="Q9" s="41">
        <v>0.0039144602602486</v>
      </c>
      <c r="R9" s="41">
        <v>0.0039067864245618</v>
      </c>
      <c r="S9" s="41">
        <v>0.0063830567731079</v>
      </c>
      <c r="T9" s="41">
        <v>9.191100879944E-4</v>
      </c>
    </row>
    <row r="10">
      <c r="A10" s="41">
        <v>7659.0</v>
      </c>
      <c r="B10" s="41">
        <v>308.561171947999</v>
      </c>
      <c r="C10" s="41">
        <v>0.0036458155879786</v>
      </c>
      <c r="D10" s="41">
        <v>0.0036397566930284</v>
      </c>
      <c r="E10" s="41">
        <v>0.0059436591993679</v>
      </c>
      <c r="F10" s="41">
        <v>8.562804889388E-4</v>
      </c>
      <c r="H10" s="41">
        <v>7993.0</v>
      </c>
      <c r="I10" s="41">
        <v>244.882828543999</v>
      </c>
      <c r="J10" s="41">
        <v>0.0038756820298291</v>
      </c>
      <c r="K10" s="41">
        <v>0.0028883037499874</v>
      </c>
      <c r="L10" s="41">
        <v>0.004664620953916</v>
      </c>
      <c r="M10" s="41">
        <v>6.794924178472E-4</v>
      </c>
      <c r="O10" s="41">
        <v>9088.0</v>
      </c>
      <c r="P10" s="41">
        <v>332.862730022</v>
      </c>
      <c r="Q10" s="41">
        <v>0.0039324751326788</v>
      </c>
      <c r="R10" s="41">
        <v>0.0039262598828527</v>
      </c>
      <c r="S10" s="41">
        <v>0.006410560684</v>
      </c>
      <c r="T10" s="41">
        <v>9.237178289138E-4</v>
      </c>
    </row>
    <row r="11">
      <c r="A11" s="41">
        <v>7372.0</v>
      </c>
      <c r="B11" s="41">
        <v>306.642602384</v>
      </c>
      <c r="C11" s="41">
        <v>0.0036206443449894</v>
      </c>
      <c r="D11" s="41">
        <v>0.0036161122109291</v>
      </c>
      <c r="E11" s="41">
        <v>0.0059007674983879</v>
      </c>
      <c r="F11" s="41">
        <v>8.507394843472E-4</v>
      </c>
      <c r="H11" s="41">
        <v>7656.0</v>
      </c>
      <c r="I11" s="41">
        <v>242.339414413</v>
      </c>
      <c r="J11" s="41">
        <v>0.0038356358464708</v>
      </c>
      <c r="K11" s="41">
        <v>0.0028578344575097</v>
      </c>
      <c r="L11" s="41">
        <v>0.0046171792492959</v>
      </c>
      <c r="M11" s="41">
        <v>6.723404807305E-4</v>
      </c>
      <c r="O11" s="41">
        <v>7815.0</v>
      </c>
      <c r="P11" s="41">
        <v>252.449275519</v>
      </c>
      <c r="Q11" s="41">
        <v>0.0029824941036088</v>
      </c>
      <c r="R11" s="41">
        <v>0.002977619978493</v>
      </c>
      <c r="S11" s="41">
        <v>0.0048621586119459</v>
      </c>
      <c r="T11" s="41">
        <v>7.005142876388E-4</v>
      </c>
    </row>
    <row r="12">
      <c r="A12" s="41">
        <v>7720.0</v>
      </c>
      <c r="B12" s="41">
        <v>332.652557030999</v>
      </c>
      <c r="C12" s="41">
        <v>0.0039301729992291</v>
      </c>
      <c r="D12" s="41">
        <v>0.0039236793216222</v>
      </c>
      <c r="E12" s="41">
        <v>0.0064071854035219</v>
      </c>
      <c r="F12" s="41">
        <v>9.230815724583E-4</v>
      </c>
      <c r="H12" s="41">
        <v>7728.0</v>
      </c>
      <c r="I12" s="41">
        <v>241.376700493</v>
      </c>
      <c r="J12" s="41">
        <v>0.0038217042868887</v>
      </c>
      <c r="K12" s="41">
        <v>0.0028471214090083</v>
      </c>
      <c r="L12" s="41">
        <v>0.0046008195139859</v>
      </c>
      <c r="M12" s="41">
        <v>6.698209479499E-4</v>
      </c>
      <c r="O12" s="41">
        <v>9060.0</v>
      </c>
      <c r="P12" s="41">
        <v>352.746121352</v>
      </c>
      <c r="Q12" s="41">
        <v>0.0041692657531705</v>
      </c>
      <c r="R12" s="41">
        <v>0.0041605649025597</v>
      </c>
      <c r="S12" s="41">
        <v>0.006799199606022</v>
      </c>
      <c r="T12" s="41">
        <v>9.788175578611E-4</v>
      </c>
    </row>
    <row r="13">
      <c r="A13" s="41">
        <v>7296.0</v>
      </c>
      <c r="B13" s="41">
        <v>284.240911799</v>
      </c>
      <c r="C13" s="41">
        <v>0.0033563654676328</v>
      </c>
      <c r="D13" s="41">
        <v>0.0033527949777639</v>
      </c>
      <c r="E13" s="41">
        <v>0.005469292986542</v>
      </c>
      <c r="F13" s="41">
        <v>7.887756631416E-4</v>
      </c>
      <c r="H13" s="41">
        <v>8834.0</v>
      </c>
      <c r="I13" s="41">
        <v>305.62060599</v>
      </c>
      <c r="J13" s="41">
        <v>0.0048385302073528</v>
      </c>
      <c r="K13" s="41">
        <v>0.0036043776094305</v>
      </c>
      <c r="L13" s="41">
        <v>0.005825296882456</v>
      </c>
      <c r="M13" s="41">
        <v>8.479485475027E-4</v>
      </c>
      <c r="O13" s="41">
        <v>9071.0</v>
      </c>
      <c r="P13" s="41">
        <v>335.202579716</v>
      </c>
      <c r="Q13" s="41">
        <v>0.0039625587829775</v>
      </c>
      <c r="R13" s="41">
        <v>0.0039534744156923</v>
      </c>
      <c r="S13" s="41">
        <v>0.0064631015593659</v>
      </c>
      <c r="T13" s="41">
        <v>9.301061566111E-4</v>
      </c>
    </row>
    <row r="14">
      <c r="A14" s="41">
        <v>8384.0</v>
      </c>
      <c r="B14" s="41">
        <v>392.382047645</v>
      </c>
      <c r="C14" s="41">
        <v>0.0046361858936174</v>
      </c>
      <c r="D14" s="41">
        <v>0.0046278644138152</v>
      </c>
      <c r="E14" s="41">
        <v>0.0075589527138239</v>
      </c>
      <c r="F14" s="41">
        <v>0.0010887783951805</v>
      </c>
      <c r="H14" s="41">
        <v>8104.0</v>
      </c>
      <c r="I14" s="41">
        <v>262.242542187999</v>
      </c>
      <c r="J14" s="41">
        <v>0.0041525709381405</v>
      </c>
      <c r="K14" s="41">
        <v>0.0030930055615895</v>
      </c>
      <c r="L14" s="41">
        <v>0.0049998953888019</v>
      </c>
      <c r="M14" s="41">
        <v>7.276616827972E-4</v>
      </c>
      <c r="O14" s="41">
        <v>8384.0</v>
      </c>
      <c r="P14" s="41">
        <v>295.778645615</v>
      </c>
      <c r="Q14" s="41">
        <v>0.0034958680114757</v>
      </c>
      <c r="R14" s="41">
        <v>0.0034889314136368</v>
      </c>
      <c r="S14" s="41">
        <v>0.005700587616022</v>
      </c>
      <c r="T14" s="41">
        <v>8.208064375333E-4</v>
      </c>
    </row>
    <row r="15">
      <c r="A15" s="41">
        <v>8598.0</v>
      </c>
      <c r="B15" s="41">
        <v>369.707874325999</v>
      </c>
      <c r="C15" s="41">
        <v>0.0043684037186702</v>
      </c>
      <c r="D15" s="41">
        <v>0.0043605622407069</v>
      </c>
      <c r="E15" s="41">
        <v>0.00712235014232</v>
      </c>
      <c r="F15" s="41">
        <v>0.0010258959737055</v>
      </c>
      <c r="H15" s="41">
        <v>8708.0</v>
      </c>
      <c r="I15" s="41">
        <v>265.352649513</v>
      </c>
      <c r="J15" s="41">
        <v>0.0042029222988827</v>
      </c>
      <c r="K15" s="41">
        <v>0.0031296638106361</v>
      </c>
      <c r="L15" s="41">
        <v>0.0050615679381399</v>
      </c>
      <c r="M15" s="41">
        <v>7.362832610749E-4</v>
      </c>
      <c r="O15" s="41">
        <v>8783.0</v>
      </c>
      <c r="P15" s="41">
        <v>279.701126265</v>
      </c>
      <c r="Q15" s="41">
        <v>0.0033048365435884</v>
      </c>
      <c r="R15" s="41">
        <v>0.0032983517394798</v>
      </c>
      <c r="S15" s="41">
        <v>0.005388981255626</v>
      </c>
      <c r="T15" s="41">
        <v>7.759789230194E-4</v>
      </c>
    </row>
    <row r="16">
      <c r="A16" s="41">
        <v>6471.0</v>
      </c>
      <c r="B16" s="41">
        <v>211.202364527999</v>
      </c>
      <c r="C16" s="41">
        <v>0.002492607689637</v>
      </c>
      <c r="D16" s="41">
        <v>0.0024912164400312</v>
      </c>
      <c r="E16" s="41">
        <v>0.004060215192614</v>
      </c>
      <c r="F16" s="41">
        <v>5.860844730499E-4</v>
      </c>
      <c r="H16" s="41">
        <v>8216.0</v>
      </c>
      <c r="I16" s="41">
        <v>249.609742579</v>
      </c>
      <c r="J16" s="41">
        <v>0.0039548297582782</v>
      </c>
      <c r="K16" s="41">
        <v>0.0029443382692339</v>
      </c>
      <c r="L16" s="41">
        <v>0.0047634974219059</v>
      </c>
      <c r="M16" s="41">
        <v>6.927007731722E-4</v>
      </c>
      <c r="O16" s="41">
        <v>9040.0</v>
      </c>
      <c r="P16" s="41">
        <v>326.11824759</v>
      </c>
      <c r="Q16" s="41">
        <v>0.0038547796447097</v>
      </c>
      <c r="R16" s="41">
        <v>0.0038462135110937</v>
      </c>
      <c r="S16" s="41">
        <v>0.006286990029588</v>
      </c>
      <c r="T16" s="41">
        <v>9.048558829527E-4</v>
      </c>
    </row>
    <row r="17">
      <c r="A17" s="41">
        <v>9135.0</v>
      </c>
      <c r="B17" s="41">
        <v>428.681121088</v>
      </c>
      <c r="C17" s="41">
        <v>0.0050664058058409</v>
      </c>
      <c r="D17" s="41">
        <v>0.0050555837481236</v>
      </c>
      <c r="E17" s="41">
        <v>0.0082625354989119</v>
      </c>
      <c r="F17" s="41">
        <v>0.0011893996006027</v>
      </c>
      <c r="H17" s="41">
        <v>8474.0</v>
      </c>
      <c r="I17" s="41">
        <v>259.61356246</v>
      </c>
      <c r="J17" s="41">
        <v>0.0041117612099494</v>
      </c>
      <c r="K17" s="41">
        <v>0.0030618003199277</v>
      </c>
      <c r="L17" s="41">
        <v>0.004951785072536</v>
      </c>
      <c r="M17" s="41">
        <v>7.202924449888E-4</v>
      </c>
      <c r="O17" s="41">
        <v>9448.0</v>
      </c>
      <c r="P17" s="41">
        <v>344.401373725</v>
      </c>
      <c r="Q17" s="41">
        <v>0.0040707478187683</v>
      </c>
      <c r="R17" s="41">
        <v>0.0040623160909562</v>
      </c>
      <c r="S17" s="41">
        <v>0.00663843169963</v>
      </c>
      <c r="T17" s="41">
        <v>9.557307798194E-4</v>
      </c>
    </row>
    <row r="18">
      <c r="A18" s="41">
        <v>7917.0</v>
      </c>
      <c r="B18" s="41">
        <v>321.244540808999</v>
      </c>
      <c r="C18" s="41">
        <v>0.0037946844015557</v>
      </c>
      <c r="D18" s="41">
        <v>0.0037889466704298</v>
      </c>
      <c r="E18" s="41">
        <v>0.0061856293929439</v>
      </c>
      <c r="F18" s="41">
        <v>8.914022230361E-4</v>
      </c>
      <c r="H18" s="41">
        <v>9953.0</v>
      </c>
      <c r="I18" s="41">
        <v>358.000222896</v>
      </c>
      <c r="J18" s="41">
        <v>0.0056831941540654</v>
      </c>
      <c r="K18" s="41">
        <v>0.0042220810272874</v>
      </c>
      <c r="L18" s="41">
        <v>0.0068563985406699</v>
      </c>
      <c r="M18" s="41">
        <v>9.933117967805E-4</v>
      </c>
      <c r="O18" s="41">
        <v>9596.0</v>
      </c>
      <c r="P18" s="41">
        <v>363.078262479999</v>
      </c>
      <c r="Q18" s="41">
        <v>0.0042900006042677</v>
      </c>
      <c r="R18" s="41">
        <v>0.0042823818688597</v>
      </c>
      <c r="S18" s="41">
        <v>0.0069944575400059</v>
      </c>
      <c r="T18" s="41">
        <v>0.0010074637061833</v>
      </c>
    </row>
    <row r="19">
      <c r="A19" s="41">
        <v>8076.0</v>
      </c>
      <c r="B19" s="41">
        <v>349.056061125999</v>
      </c>
      <c r="C19" s="41">
        <v>0.0041226592041184</v>
      </c>
      <c r="D19" s="41">
        <v>0.0041170027471402</v>
      </c>
      <c r="E19" s="41">
        <v>0.0067195984312299</v>
      </c>
      <c r="F19" s="41">
        <v>9.685242691777E-4</v>
      </c>
      <c r="H19" s="41">
        <v>8418.0</v>
      </c>
      <c r="I19" s="41">
        <v>269.04129969</v>
      </c>
      <c r="J19" s="41">
        <v>0.0042634026924921</v>
      </c>
      <c r="K19" s="41">
        <v>0.0031730415415791</v>
      </c>
      <c r="L19" s="41">
        <v>0.005136431331364</v>
      </c>
      <c r="M19" s="41">
        <v>7.465098037722E-4</v>
      </c>
      <c r="O19" s="41">
        <v>8852.0</v>
      </c>
      <c r="P19" s="41">
        <v>317.850850318</v>
      </c>
      <c r="Q19" s="41">
        <v>0.0037561879323157</v>
      </c>
      <c r="R19" s="41">
        <v>0.0037486861166256</v>
      </c>
      <c r="S19" s="41">
        <v>0.00612515628901</v>
      </c>
      <c r="T19" s="41">
        <v>8.819022606361E-4</v>
      </c>
    </row>
    <row r="20">
      <c r="A20" s="41">
        <v>9138.0</v>
      </c>
      <c r="B20" s="41">
        <v>443.361476780999</v>
      </c>
      <c r="C20" s="41">
        <v>0.0052412795173913</v>
      </c>
      <c r="D20" s="41">
        <v>0.0052288378712062</v>
      </c>
      <c r="E20" s="41">
        <v>0.008549286839424</v>
      </c>
      <c r="F20" s="41">
        <v>0.0012301403787222</v>
      </c>
      <c r="H20" s="41">
        <v>8288.0</v>
      </c>
      <c r="I20" s="41">
        <v>259.865672425999</v>
      </c>
      <c r="J20" s="41">
        <v>0.0041161041042668</v>
      </c>
      <c r="K20" s="41">
        <v>0.0030649312012861</v>
      </c>
      <c r="L20" s="41">
        <v>0.004957114521244</v>
      </c>
      <c r="M20" s="41">
        <v>7.210569474194E-4</v>
      </c>
      <c r="O20" s="41">
        <v>8676.0</v>
      </c>
      <c r="P20" s="41">
        <v>302.47782781</v>
      </c>
      <c r="Q20" s="41">
        <v>0.0035747086678525</v>
      </c>
      <c r="R20" s="41">
        <v>0.0035671341443562</v>
      </c>
      <c r="S20" s="41">
        <v>0.0058297343860059</v>
      </c>
      <c r="T20" s="41">
        <v>8.392150683694E-4</v>
      </c>
    </row>
    <row r="21">
      <c r="A21" s="41">
        <v>9261.0</v>
      </c>
      <c r="B21" s="41">
        <v>433.793231372</v>
      </c>
      <c r="C21" s="41">
        <v>0.0051264764276573</v>
      </c>
      <c r="D21" s="41">
        <v>0.0051166768018201</v>
      </c>
      <c r="E21" s="41">
        <v>0.0083590972428279</v>
      </c>
      <c r="F21" s="41">
        <v>0.0012037554376666</v>
      </c>
      <c r="H21" s="41">
        <v>9470.0</v>
      </c>
      <c r="I21" s="41">
        <v>323.80170898</v>
      </c>
      <c r="J21" s="41">
        <v>0.0051339677928408</v>
      </c>
      <c r="K21" s="41">
        <v>0.0038189796823805</v>
      </c>
      <c r="L21" s="41">
        <v>0.006187747172416</v>
      </c>
      <c r="M21" s="41">
        <v>8.984413285083E-4</v>
      </c>
      <c r="O21" s="41">
        <v>9521.0</v>
      </c>
      <c r="P21" s="41">
        <v>348.368562263999</v>
      </c>
      <c r="Q21" s="41">
        <v>0.0041182235748389</v>
      </c>
      <c r="R21" s="41">
        <v>0.0041085371168666</v>
      </c>
      <c r="S21" s="41">
        <v>0.0067173184294059</v>
      </c>
      <c r="T21" s="41">
        <v>9.665685943055E-4</v>
      </c>
    </row>
    <row r="22">
      <c r="A22" s="41">
        <v>6605.0</v>
      </c>
      <c r="B22" s="41">
        <v>225.406098147</v>
      </c>
      <c r="C22" s="41">
        <v>0.0026609537146487</v>
      </c>
      <c r="D22" s="41">
        <v>0.002658830656525</v>
      </c>
      <c r="E22" s="41">
        <v>0.0043352293015139</v>
      </c>
      <c r="F22" s="41">
        <v>6.255105318444E-4</v>
      </c>
      <c r="H22" s="41">
        <v>8174.0</v>
      </c>
      <c r="I22" s="41">
        <v>252.846171739</v>
      </c>
      <c r="J22" s="41">
        <v>0.004002159131769</v>
      </c>
      <c r="K22" s="41">
        <v>0.0029823868580035</v>
      </c>
      <c r="L22" s="41">
        <v>0.004817028020286</v>
      </c>
      <c r="M22" s="41">
        <v>7.016548964666E-4</v>
      </c>
      <c r="O22" s="41">
        <v>9095.0</v>
      </c>
      <c r="P22" s="41">
        <v>337.448035855999</v>
      </c>
      <c r="Q22" s="41">
        <v>0.0039896349409603</v>
      </c>
      <c r="R22" s="41">
        <v>0.0039800453426159</v>
      </c>
      <c r="S22" s="41">
        <v>0.006507856872948</v>
      </c>
      <c r="T22" s="41">
        <v>9.363117774111E-4</v>
      </c>
    </row>
    <row r="23">
      <c r="A23" s="41">
        <v>7038.0</v>
      </c>
      <c r="B23" s="41">
        <v>266.801774364999</v>
      </c>
      <c r="C23" s="41">
        <v>0.0031496839266679</v>
      </c>
      <c r="D23" s="41">
        <v>0.0031465172073347</v>
      </c>
      <c r="E23" s="41">
        <v>0.005132253272466</v>
      </c>
      <c r="F23" s="41">
        <v>7.402660287944E-4</v>
      </c>
      <c r="H23" s="41">
        <v>8888.0</v>
      </c>
      <c r="I23" s="41">
        <v>303.530578261</v>
      </c>
      <c r="J23" s="41">
        <v>0.0048101048376465</v>
      </c>
      <c r="K23" s="41">
        <v>0.0035796827847514</v>
      </c>
      <c r="L23" s="41">
        <v>0.005795396025202</v>
      </c>
      <c r="M23" s="41">
        <v>8.421653081361E-4</v>
      </c>
      <c r="O23" s="41">
        <v>8396.0</v>
      </c>
      <c r="P23" s="41">
        <v>284.671105853999</v>
      </c>
      <c r="Q23" s="41">
        <v>0.003362567206426</v>
      </c>
      <c r="R23" s="41">
        <v>0.0033574522292916</v>
      </c>
      <c r="S23" s="41">
        <v>0.005481296885034</v>
      </c>
      <c r="T23" s="41">
        <v>7.898730279111E-4</v>
      </c>
    </row>
    <row r="24">
      <c r="A24" s="41">
        <v>7065.0</v>
      </c>
      <c r="B24" s="41">
        <v>270.121847194999</v>
      </c>
      <c r="C24" s="41">
        <v>0.0031896401637374</v>
      </c>
      <c r="D24" s="41">
        <v>0.0031861717358597</v>
      </c>
      <c r="E24" s="41">
        <v>0.0051976974914879</v>
      </c>
      <c r="F24" s="41">
        <v>7.495809079055E-4</v>
      </c>
      <c r="H24" s="41">
        <v>7962.0</v>
      </c>
      <c r="I24" s="41">
        <v>243.240647814</v>
      </c>
      <c r="J24" s="41">
        <v>0.0038492443955475</v>
      </c>
      <c r="K24" s="41">
        <v>0.0028687853999736</v>
      </c>
      <c r="L24" s="41">
        <v>0.0046325817616179</v>
      </c>
      <c r="M24" s="41">
        <v>6.748932291777E-4</v>
      </c>
      <c r="O24" s="41">
        <v>8358.0</v>
      </c>
      <c r="P24" s="41">
        <v>285.956171812999</v>
      </c>
      <c r="Q24" s="41">
        <v>0.0033800611254901</v>
      </c>
      <c r="R24" s="41">
        <v>0.0033729762245618</v>
      </c>
      <c r="S24" s="41">
        <v>0.005512208298652</v>
      </c>
      <c r="T24" s="41">
        <v>7.935309929583E-4</v>
      </c>
    </row>
    <row r="25">
      <c r="A25" s="41">
        <v>7457.0</v>
      </c>
      <c r="B25" s="41">
        <v>289.941311032</v>
      </c>
      <c r="C25" s="41">
        <v>0.0034245340218581</v>
      </c>
      <c r="D25" s="41">
        <v>0.0034197080590701</v>
      </c>
      <c r="E25" s="41">
        <v>0.005581818909896</v>
      </c>
      <c r="F25" s="41">
        <v>8.045355081472E-4</v>
      </c>
      <c r="H25" s="41">
        <v>8983.0</v>
      </c>
      <c r="I25" s="41">
        <v>300.488689441</v>
      </c>
      <c r="J25" s="41">
        <v>0.0047598975378066</v>
      </c>
      <c r="K25" s="41">
        <v>0.0035442315839423</v>
      </c>
      <c r="L25" s="41">
        <v>0.0057325356971359</v>
      </c>
      <c r="M25" s="41">
        <v>8.338304631194E-4</v>
      </c>
      <c r="O25" s="41">
        <v>9489.0</v>
      </c>
      <c r="P25" s="41">
        <v>361.142905236999</v>
      </c>
      <c r="Q25" s="41">
        <v>0.0042697142448279</v>
      </c>
      <c r="R25" s="41">
        <v>0.004258736528284</v>
      </c>
      <c r="S25" s="41">
        <v>0.0069656008502539</v>
      </c>
      <c r="T25" s="41">
        <v>0.0010018762835138</v>
      </c>
    </row>
    <row r="26">
      <c r="A26" s="41">
        <v>7187.0</v>
      </c>
      <c r="B26" s="41">
        <v>261.082809536999</v>
      </c>
      <c r="C26" s="41">
        <v>0.0030830442987709</v>
      </c>
      <c r="D26" s="41">
        <v>0.0030792392129889</v>
      </c>
      <c r="E26" s="41">
        <v>0.0050245401307399</v>
      </c>
      <c r="F26" s="41">
        <v>7.2443635525E-4</v>
      </c>
      <c r="H26" s="41">
        <v>9117.0</v>
      </c>
      <c r="I26" s="41">
        <v>305.127536011</v>
      </c>
      <c r="J26" s="41">
        <v>0.0048231772267352</v>
      </c>
      <c r="K26" s="41">
        <v>0.0035986503257576</v>
      </c>
      <c r="L26" s="41">
        <v>0.0057997349175619</v>
      </c>
      <c r="M26" s="41">
        <v>8.466262093777E-4</v>
      </c>
      <c r="O26" s="41">
        <v>8533.0</v>
      </c>
      <c r="P26" s="41">
        <v>272.941770468</v>
      </c>
      <c r="Q26" s="41">
        <v>0.0032249577851135</v>
      </c>
      <c r="R26" s="41">
        <v>0.0032190790270486</v>
      </c>
      <c r="S26" s="41">
        <v>0.0052581953176639</v>
      </c>
      <c r="T26" s="41">
        <v>7.573068640083E-4</v>
      </c>
    </row>
    <row r="27">
      <c r="A27" s="41">
        <v>7732.0</v>
      </c>
      <c r="B27" s="41">
        <v>303.181342604999</v>
      </c>
      <c r="C27" s="41">
        <v>0.0035801117316798</v>
      </c>
      <c r="D27" s="41">
        <v>0.0035759452905631</v>
      </c>
      <c r="E27" s="41">
        <v>0.005834345223028</v>
      </c>
      <c r="F27" s="41">
        <v>8.412646153166E-4</v>
      </c>
      <c r="H27" s="41">
        <v>8670.0</v>
      </c>
      <c r="I27" s="41">
        <v>271.898533255</v>
      </c>
      <c r="J27" s="41">
        <v>0.0043066022830047</v>
      </c>
      <c r="K27" s="41">
        <v>0.0032067292932527</v>
      </c>
      <c r="L27" s="41">
        <v>0.0051866113715079</v>
      </c>
      <c r="M27" s="41">
        <v>7.544031641472E-4</v>
      </c>
      <c r="O27" s="41">
        <v>8854.0</v>
      </c>
      <c r="P27" s="41">
        <v>298.631602683</v>
      </c>
      <c r="Q27" s="41">
        <v>0.0035289099282</v>
      </c>
      <c r="R27" s="41">
        <v>0.0035221696302965</v>
      </c>
      <c r="S27" s="41">
        <v>0.005754141269976</v>
      </c>
      <c r="T27" s="41">
        <v>8.286292203861E-4</v>
      </c>
    </row>
    <row r="28">
      <c r="A28" s="41">
        <v>7025.0</v>
      </c>
      <c r="B28" s="41">
        <v>282.240809515</v>
      </c>
      <c r="C28" s="41">
        <v>0.0033325811663065</v>
      </c>
      <c r="D28" s="41">
        <v>0.0033287257747478</v>
      </c>
      <c r="E28" s="41">
        <v>0.0054308921224879</v>
      </c>
      <c r="F28" s="41">
        <v>7.831400132611E-4</v>
      </c>
      <c r="H28" s="41">
        <v>9084.0</v>
      </c>
      <c r="I28" s="41">
        <v>331.394977942</v>
      </c>
      <c r="J28" s="41">
        <v>0.0052551510396473</v>
      </c>
      <c r="K28" s="41">
        <v>0.0039088975744257</v>
      </c>
      <c r="L28" s="41">
        <v>0.0063340456227879</v>
      </c>
      <c r="M28" s="41">
        <v>9.196328508749E-4</v>
      </c>
      <c r="O28" s="41">
        <v>8286.0</v>
      </c>
      <c r="P28" s="41">
        <v>293.342321609001</v>
      </c>
      <c r="Q28" s="41">
        <v>0.0034661518039602</v>
      </c>
      <c r="R28" s="41">
        <v>0.0034601710266326</v>
      </c>
      <c r="S28" s="41">
        <v>0.005651013965252</v>
      </c>
      <c r="T28" s="41">
        <v>8.140489020833E-4</v>
      </c>
    </row>
    <row r="29">
      <c r="A29" s="41">
        <v>6331.0</v>
      </c>
      <c r="B29" s="41">
        <v>224.126396194998</v>
      </c>
      <c r="C29" s="41">
        <v>0.0026449164836404</v>
      </c>
      <c r="D29" s="41">
        <v>0.0026436018457722</v>
      </c>
      <c r="E29" s="41">
        <v>0.004308104557592</v>
      </c>
      <c r="F29" s="41">
        <v>6.219419002527E-4</v>
      </c>
      <c r="H29" s="41">
        <v>7857.0</v>
      </c>
      <c r="I29" s="41">
        <v>248.654080045</v>
      </c>
      <c r="J29" s="41">
        <v>0.0039351249973852</v>
      </c>
      <c r="K29" s="41">
        <v>0.0029325637246534</v>
      </c>
      <c r="L29" s="41">
        <v>0.0047361999000679</v>
      </c>
      <c r="M29" s="41">
        <v>6.899175455527E-4</v>
      </c>
      <c r="O29" s="41">
        <v>8156.0</v>
      </c>
      <c r="P29" s="41">
        <v>284.269870378999</v>
      </c>
      <c r="Q29" s="41">
        <v>0.0033595285855735</v>
      </c>
      <c r="R29" s="41">
        <v>0.0033531321208902</v>
      </c>
      <c r="S29" s="41">
        <v>0.0054779363267899</v>
      </c>
      <c r="T29" s="41">
        <v>7.888526842194E-4</v>
      </c>
    </row>
    <row r="30">
      <c r="A30" s="41">
        <v>6745.0</v>
      </c>
      <c r="B30" s="41">
        <v>247.12976039</v>
      </c>
      <c r="C30" s="41">
        <v>0.0029178584710643</v>
      </c>
      <c r="D30" s="41">
        <v>0.002914755530959</v>
      </c>
      <c r="E30" s="41">
        <v>0.004754727970446</v>
      </c>
      <c r="F30" s="41">
        <v>6.857269546749E-4</v>
      </c>
      <c r="H30" s="41">
        <v>7987.0</v>
      </c>
      <c r="I30" s="41">
        <v>251.102758122</v>
      </c>
      <c r="J30" s="41">
        <v>0.003975317363369</v>
      </c>
      <c r="K30" s="41">
        <v>0.0029615084760319</v>
      </c>
      <c r="L30" s="41">
        <v>0.0047858079953099</v>
      </c>
      <c r="M30" s="41">
        <v>6.967381427138E-4</v>
      </c>
      <c r="O30" s="41">
        <v>9195.0</v>
      </c>
      <c r="P30" s="41">
        <v>356.743637459001</v>
      </c>
      <c r="Q30" s="41">
        <v>0.0042174132237634</v>
      </c>
      <c r="R30" s="41">
        <v>0.0042073985709874</v>
      </c>
      <c r="S30" s="41">
        <v>0.0068792355033839</v>
      </c>
      <c r="T30" s="41">
        <v>9.898169989888E-4</v>
      </c>
    </row>
    <row r="31">
      <c r="A31" s="41">
        <v>7007.0</v>
      </c>
      <c r="B31" s="41">
        <v>262.267178149</v>
      </c>
      <c r="C31" s="41">
        <v>0.0030893128632538</v>
      </c>
      <c r="D31" s="41">
        <v>0.0030936052574028</v>
      </c>
      <c r="E31" s="41">
        <v>0.005024757075358</v>
      </c>
      <c r="F31" s="41">
        <v>7.278032346E-4</v>
      </c>
      <c r="H31" s="41">
        <v>8261.0</v>
      </c>
      <c r="I31" s="41">
        <v>259.997440184999</v>
      </c>
      <c r="J31" s="41">
        <v>0.0041179426345964</v>
      </c>
      <c r="K31" s="41">
        <v>0.0030663752804881</v>
      </c>
      <c r="L31" s="41">
        <v>0.0049592328562719</v>
      </c>
      <c r="M31" s="41">
        <v>7.213997938499E-4</v>
      </c>
      <c r="O31" s="41">
        <v>9002.0</v>
      </c>
      <c r="P31" s="41">
        <v>331.863819623999</v>
      </c>
      <c r="Q31" s="41">
        <v>0.003923440107687</v>
      </c>
      <c r="R31" s="41">
        <v>0.0039138294346861</v>
      </c>
      <c r="S31" s="41">
        <v>0.00640007178672</v>
      </c>
      <c r="T31" s="41">
        <v>9.207656195777E-4</v>
      </c>
    </row>
    <row r="32">
      <c r="A32" s="41">
        <v>7004.0</v>
      </c>
      <c r="B32" s="41">
        <v>261.407024373</v>
      </c>
      <c r="C32" s="41">
        <v>0.0030860132247861</v>
      </c>
      <c r="D32" s="41">
        <v>0.0030827106284541</v>
      </c>
      <c r="E32" s="41">
        <v>0.00502876374523</v>
      </c>
      <c r="F32" s="41">
        <v>7.252427663111E-4</v>
      </c>
      <c r="H32" s="41">
        <v>8390.0</v>
      </c>
      <c r="I32" s="41">
        <v>266.106162951999</v>
      </c>
      <c r="J32" s="41">
        <v>0.0042157863030576</v>
      </c>
      <c r="K32" s="41">
        <v>0.0031386176692458</v>
      </c>
      <c r="L32" s="41">
        <v>0.00507783045115</v>
      </c>
      <c r="M32" s="41">
        <v>7.383915893166E-4</v>
      </c>
      <c r="O32" s="41">
        <v>8523.0</v>
      </c>
      <c r="P32" s="41">
        <v>296.464368700999</v>
      </c>
      <c r="Q32" s="41">
        <v>0.0035034886903444</v>
      </c>
      <c r="R32" s="41">
        <v>0.0034963489559554</v>
      </c>
      <c r="S32" s="41">
        <v>0.0057132379039199</v>
      </c>
      <c r="T32" s="41">
        <v>8.225602194333E-4</v>
      </c>
    </row>
    <row r="33">
      <c r="A33" s="41">
        <v>7939.0</v>
      </c>
      <c r="B33" s="41">
        <v>330.796509828</v>
      </c>
      <c r="C33" s="41">
        <v>0.0039077300490636</v>
      </c>
      <c r="D33" s="41">
        <v>0.0039014673337326</v>
      </c>
      <c r="E33" s="41">
        <v>0.006370362596286</v>
      </c>
      <c r="F33" s="41">
        <v>9.178515741583E-4</v>
      </c>
      <c r="H33" s="41">
        <v>8850.0</v>
      </c>
      <c r="I33" s="41">
        <v>290.194055658999</v>
      </c>
      <c r="J33" s="41">
        <v>0.0045984197732288</v>
      </c>
      <c r="K33" s="41">
        <v>0.0034222559698409</v>
      </c>
      <c r="L33" s="41">
        <v>0.0055402122099439</v>
      </c>
      <c r="M33" s="41">
        <v>8.051312731027E-4</v>
      </c>
      <c r="O33" s="41">
        <v>9513.0</v>
      </c>
      <c r="P33" s="41">
        <v>367.283002392001</v>
      </c>
      <c r="Q33" s="41">
        <v>0.0043421704122337</v>
      </c>
      <c r="R33" s="41">
        <v>0.0043314028874319</v>
      </c>
      <c r="S33" s="41">
        <v>0.007083277611062</v>
      </c>
      <c r="T33" s="41">
        <v>0.0010190094800139</v>
      </c>
    </row>
    <row r="34">
      <c r="A34" s="41">
        <v>8090.0</v>
      </c>
      <c r="B34" s="41">
        <v>329.402838152</v>
      </c>
      <c r="C34" s="41">
        <v>0.0038908100373632</v>
      </c>
      <c r="D34" s="41">
        <v>0.0038845032126222</v>
      </c>
      <c r="E34" s="41">
        <v>0.0063428597965059</v>
      </c>
      <c r="F34" s="41">
        <v>9.1386848965E-4</v>
      </c>
      <c r="H34" s="41">
        <v>8647.0</v>
      </c>
      <c r="I34" s="41">
        <v>264.435889577</v>
      </c>
      <c r="J34" s="41">
        <v>0.0041882221902862</v>
      </c>
      <c r="K34" s="41">
        <v>0.0031187297245222</v>
      </c>
      <c r="L34" s="41">
        <v>0.0050438107017119</v>
      </c>
      <c r="M34" s="41">
        <v>7.337497760166E-4</v>
      </c>
      <c r="O34" s="41">
        <v>8697.0</v>
      </c>
      <c r="P34" s="41">
        <v>286.155445816</v>
      </c>
      <c r="Q34" s="41">
        <v>0.0033815809897363</v>
      </c>
      <c r="R34" s="41">
        <v>0.0033749321829722</v>
      </c>
      <c r="S34" s="41">
        <v>0.0055141546890979</v>
      </c>
      <c r="T34" s="41">
        <v>7.939807351194E-4</v>
      </c>
    </row>
    <row r="35">
      <c r="A35" s="41">
        <v>7812.0</v>
      </c>
      <c r="B35" s="41">
        <v>317.310213312999</v>
      </c>
      <c r="C35" s="41">
        <v>0.003748447786542</v>
      </c>
      <c r="D35" s="41">
        <v>0.00374241020645</v>
      </c>
      <c r="E35" s="41">
        <v>0.006110724610798</v>
      </c>
      <c r="F35" s="41">
        <v>8.804461465888E-4</v>
      </c>
      <c r="H35" s="41">
        <v>8154.0</v>
      </c>
      <c r="I35" s="41">
        <v>238.604721675999</v>
      </c>
      <c r="J35" s="41">
        <v>0.0037757974422991</v>
      </c>
      <c r="K35" s="41">
        <v>0.0028140324440139</v>
      </c>
      <c r="L35" s="41">
        <v>0.004544179468674</v>
      </c>
      <c r="M35" s="41">
        <v>6.620382711527E-4</v>
      </c>
      <c r="O35" s="41">
        <v>9470.0</v>
      </c>
      <c r="P35" s="41">
        <v>354.132590064</v>
      </c>
      <c r="Q35" s="41">
        <v>0.0041846932609018</v>
      </c>
      <c r="R35" s="41">
        <v>0.0041766596707639</v>
      </c>
      <c r="S35" s="41">
        <v>0.00682353740327</v>
      </c>
      <c r="T35" s="41">
        <v>9.825612522194E-4</v>
      </c>
    </row>
    <row r="36">
      <c r="A36" s="41">
        <v>7566.0</v>
      </c>
      <c r="B36" s="41">
        <v>313.686522008001</v>
      </c>
      <c r="C36" s="41">
        <v>0.0037054329416523</v>
      </c>
      <c r="D36" s="41">
        <v>0.0036994033703507</v>
      </c>
      <c r="E36" s="41">
        <v>0.006040678165872</v>
      </c>
      <c r="F36" s="41">
        <v>8.703275584666E-4</v>
      </c>
      <c r="H36" s="41">
        <v>8388.0</v>
      </c>
      <c r="I36" s="41">
        <v>273.824527050999</v>
      </c>
      <c r="J36" s="41">
        <v>0.0043389393329527</v>
      </c>
      <c r="K36" s="41">
        <v>0.003229797763077</v>
      </c>
      <c r="L36" s="41">
        <v>0.0052267789036419</v>
      </c>
      <c r="M36" s="41">
        <v>7.598549651638E-4</v>
      </c>
      <c r="O36" s="41">
        <v>9345.0</v>
      </c>
      <c r="P36" s="41">
        <v>364.195282716998</v>
      </c>
      <c r="Q36" s="41">
        <v>0.0043067457945853</v>
      </c>
      <c r="R36" s="41">
        <v>0.0042952095802867</v>
      </c>
      <c r="S36" s="41">
        <v>0.007026544232342</v>
      </c>
      <c r="T36" s="41">
        <v>0.0010104987114194</v>
      </c>
    </row>
    <row r="37">
      <c r="A37" s="41">
        <v>8295.0</v>
      </c>
      <c r="B37" s="41">
        <v>353.975406419</v>
      </c>
      <c r="C37" s="41">
        <v>0.004180516878813</v>
      </c>
      <c r="D37" s="41">
        <v>0.0041745354030978</v>
      </c>
      <c r="E37" s="41">
        <v>0.0068141587846559</v>
      </c>
      <c r="F37" s="41">
        <v>9.821051789944E-4</v>
      </c>
      <c r="H37" s="41">
        <v>8790.0</v>
      </c>
      <c r="I37" s="41">
        <v>282.278821910998</v>
      </c>
      <c r="J37" s="41">
        <v>0.0044732684945835</v>
      </c>
      <c r="K37" s="41">
        <v>0.0033291142810367</v>
      </c>
      <c r="L37" s="41">
        <v>0.005389458200452</v>
      </c>
      <c r="M37" s="41">
        <v>7.831905273361E-4</v>
      </c>
      <c r="O37" s="41">
        <v>8652.0</v>
      </c>
      <c r="P37" s="41">
        <v>280.771595356</v>
      </c>
      <c r="Q37" s="41">
        <v>0.0033190842480508</v>
      </c>
      <c r="R37" s="41">
        <v>0.0033115688552444</v>
      </c>
      <c r="S37" s="41">
        <v>0.005413474608554</v>
      </c>
      <c r="T37" s="41">
        <v>7.790663787222E-4</v>
      </c>
    </row>
    <row r="38">
      <c r="A38" s="41">
        <v>6712.0</v>
      </c>
      <c r="B38" s="41">
        <v>243.846388803</v>
      </c>
      <c r="C38" s="41">
        <v>0.002877258514868</v>
      </c>
      <c r="D38" s="41">
        <v>0.0028756474980104</v>
      </c>
      <c r="E38" s="41">
        <v>0.004686776249418</v>
      </c>
      <c r="F38" s="41">
        <v>6.765298093222E-4</v>
      </c>
      <c r="H38" s="41">
        <v>8006.0</v>
      </c>
      <c r="I38" s="41">
        <v>248.598428729999</v>
      </c>
      <c r="J38" s="41">
        <v>0.0039359971554932</v>
      </c>
      <c r="K38" s="41">
        <v>0.0029320453040339</v>
      </c>
      <c r="L38" s="41">
        <v>0.0047386829576099</v>
      </c>
      <c r="M38" s="41">
        <v>6.898054778777E-4</v>
      </c>
      <c r="O38" s="41">
        <v>8107.0</v>
      </c>
      <c r="P38" s="41">
        <v>266.261876618998</v>
      </c>
      <c r="Q38" s="41">
        <v>0.003147141767059</v>
      </c>
      <c r="R38" s="41">
        <v>0.0031402015175485</v>
      </c>
      <c r="S38" s="41">
        <v>0.005132794939566</v>
      </c>
      <c r="T38" s="41">
        <v>7.387606447666E-4</v>
      </c>
    </row>
    <row r="39">
      <c r="A39" s="41">
        <v>8011.0</v>
      </c>
      <c r="B39" s="41">
        <v>345.541941156001</v>
      </c>
      <c r="C39" s="41">
        <v>0.0040815017180785</v>
      </c>
      <c r="D39" s="41">
        <v>0.0040755333711368</v>
      </c>
      <c r="E39" s="41">
        <v>0.006652920044554</v>
      </c>
      <c r="F39" s="41">
        <v>9.588186605861E-4</v>
      </c>
      <c r="H39" s="41">
        <v>8852.0</v>
      </c>
      <c r="I39" s="41">
        <v>296.564569096999</v>
      </c>
      <c r="J39" s="41">
        <v>0.0047005879747976</v>
      </c>
      <c r="K39" s="41">
        <v>0.0034972793146721</v>
      </c>
      <c r="L39" s="41">
        <v>0.005664580642772</v>
      </c>
      <c r="M39" s="41">
        <v>8.227571056138E-4</v>
      </c>
      <c r="O39" s="41">
        <v>8789.0</v>
      </c>
      <c r="P39" s="41">
        <v>303.555588533001</v>
      </c>
      <c r="Q39" s="41">
        <v>0.0035883582138207</v>
      </c>
      <c r="R39" s="41">
        <v>0.0035804419708458</v>
      </c>
      <c r="S39" s="41">
        <v>0.005852365237444</v>
      </c>
      <c r="T39" s="41">
        <v>8.423615038305E-4</v>
      </c>
    </row>
    <row r="40">
      <c r="A40" s="41">
        <v>9806.0</v>
      </c>
      <c r="B40" s="41">
        <v>502.225369391</v>
      </c>
      <c r="C40" s="41">
        <v>0.0059368678154788</v>
      </c>
      <c r="D40" s="41">
        <v>0.0059229764663159</v>
      </c>
      <c r="E40" s="41">
        <v>0.0096836930247259</v>
      </c>
      <c r="F40" s="41">
        <v>0.0013933942681027</v>
      </c>
      <c r="H40" s="41">
        <v>8247.0</v>
      </c>
      <c r="I40" s="41">
        <v>260.064866799999</v>
      </c>
      <c r="J40" s="41">
        <v>0.0041140924142341</v>
      </c>
      <c r="K40" s="41">
        <v>0.0030670720478124</v>
      </c>
      <c r="L40" s="41">
        <v>0.00495020812683</v>
      </c>
      <c r="M40" s="41">
        <v>7.215494225055E-4</v>
      </c>
      <c r="O40" s="41">
        <v>8736.0</v>
      </c>
      <c r="P40" s="41">
        <v>309.850560244</v>
      </c>
      <c r="Q40" s="41">
        <v>0.0036629276922155</v>
      </c>
      <c r="R40" s="41">
        <v>0.0036544774253478</v>
      </c>
      <c r="S40" s="41">
        <v>0.00597443811288</v>
      </c>
      <c r="T40" s="41">
        <v>8.597809003972E-4</v>
      </c>
    </row>
    <row r="41">
      <c r="A41" s="41">
        <v>8682.0</v>
      </c>
      <c r="B41" s="41">
        <v>384.743173474</v>
      </c>
      <c r="C41" s="41">
        <v>0.0045460350673248</v>
      </c>
      <c r="D41" s="41">
        <v>0.0045373710442396</v>
      </c>
      <c r="E41" s="41">
        <v>0.007412638152328</v>
      </c>
      <c r="F41" s="41">
        <v>0.0010674418226944</v>
      </c>
      <c r="H41" s="41">
        <v>9633.0</v>
      </c>
      <c r="I41" s="41">
        <v>336.108330783999</v>
      </c>
      <c r="J41" s="41">
        <v>0.0053260160601013</v>
      </c>
      <c r="K41" s="41">
        <v>0.0039639443701437</v>
      </c>
      <c r="L41" s="41">
        <v>0.0064165801332599</v>
      </c>
      <c r="M41" s="41">
        <v>9.325774142555E-4</v>
      </c>
      <c r="O41" s="41">
        <v>10246.0</v>
      </c>
      <c r="P41" s="41">
        <v>407.704247589999</v>
      </c>
      <c r="Q41" s="41">
        <v>0.0048215293308354</v>
      </c>
      <c r="R41" s="41">
        <v>0.0048084855389485</v>
      </c>
      <c r="S41" s="41">
        <v>0.007866601848832</v>
      </c>
      <c r="T41" s="41">
        <v>0.0011312341589249</v>
      </c>
    </row>
    <row r="42">
      <c r="A42" s="41">
        <v>8564.0</v>
      </c>
      <c r="B42" s="41">
        <v>393.241974660999</v>
      </c>
      <c r="C42" s="41">
        <v>0.0046464896112737</v>
      </c>
      <c r="D42" s="41">
        <v>0.0046379260827847</v>
      </c>
      <c r="E42" s="41">
        <v>0.007576091616424</v>
      </c>
      <c r="F42" s="41">
        <v>0.0010910822462388</v>
      </c>
      <c r="H42" s="41">
        <v>8777.0</v>
      </c>
      <c r="I42" s="41">
        <v>294.326004882999</v>
      </c>
      <c r="J42" s="41">
        <v>0.0046646810357592</v>
      </c>
      <c r="K42" s="41">
        <v>0.0034711786266375</v>
      </c>
      <c r="L42" s="41">
        <v>0.0056205350519799</v>
      </c>
      <c r="M42" s="41">
        <v>8.16632705511E-4</v>
      </c>
      <c r="O42" s="41">
        <v>9224.0</v>
      </c>
      <c r="P42" s="41">
        <v>345.023553248</v>
      </c>
      <c r="Q42" s="41">
        <v>0.0040787252537457</v>
      </c>
      <c r="R42" s="41">
        <v>0.0040692793317916</v>
      </c>
      <c r="S42" s="41">
        <v>0.00665271643328</v>
      </c>
      <c r="T42" s="41">
        <v>9.573259791194E-4</v>
      </c>
    </row>
    <row r="43">
      <c r="A43" s="41">
        <v>7864.0</v>
      </c>
      <c r="B43" s="41">
        <v>317.376604946999</v>
      </c>
      <c r="C43" s="41">
        <v>0.0037473040078931</v>
      </c>
      <c r="D43" s="41">
        <v>0.0037432586926354</v>
      </c>
      <c r="E43" s="41">
        <v>0.006106402385118</v>
      </c>
      <c r="F43" s="41">
        <v>8.806447062138E-4</v>
      </c>
      <c r="H43" s="41">
        <v>9080.0</v>
      </c>
      <c r="I43" s="41">
        <v>302.571366383999</v>
      </c>
      <c r="J43" s="41">
        <v>0.0047941367930147</v>
      </c>
      <c r="K43" s="41">
        <v>0.0035683828880096</v>
      </c>
      <c r="L43" s="41">
        <v>0.0057754571203619</v>
      </c>
      <c r="M43" s="41">
        <v>8.39486052711E-4</v>
      </c>
      <c r="O43" s="41">
        <v>8862.0</v>
      </c>
      <c r="P43" s="41">
        <v>299.975421162</v>
      </c>
      <c r="Q43" s="41">
        <v>0.0035451930053321</v>
      </c>
      <c r="R43" s="41">
        <v>0.003537590093961</v>
      </c>
      <c r="S43" s="41">
        <v>0.0057817068475839</v>
      </c>
      <c r="T43" s="41">
        <v>8.322693392444E-4</v>
      </c>
    </row>
    <row r="44">
      <c r="A44" s="41">
        <v>6614.0</v>
      </c>
      <c r="B44" s="41">
        <v>229.574502545001</v>
      </c>
      <c r="C44" s="41">
        <v>0.0027084258171218</v>
      </c>
      <c r="D44" s="41">
        <v>0.0027076739149868</v>
      </c>
      <c r="E44" s="41">
        <v>0.00441088963982</v>
      </c>
      <c r="F44" s="41">
        <v>6.369420432694E-4</v>
      </c>
      <c r="H44" s="41">
        <v>8732.0</v>
      </c>
      <c r="I44" s="41">
        <v>298.393547393998</v>
      </c>
      <c r="J44" s="41">
        <v>0.0047280921149118</v>
      </c>
      <c r="K44" s="41">
        <v>0.0035191659751082</v>
      </c>
      <c r="L44" s="41">
        <v>0.0056959690012159</v>
      </c>
      <c r="M44" s="41">
        <v>8.279042050222E-4</v>
      </c>
      <c r="O44" s="41">
        <v>8563.0</v>
      </c>
      <c r="P44" s="41">
        <v>296.545210849999</v>
      </c>
      <c r="Q44" s="41">
        <v>0.003504845559347</v>
      </c>
      <c r="R44" s="41">
        <v>0.0034972607578736</v>
      </c>
      <c r="S44" s="41">
        <v>0.00571598373945</v>
      </c>
      <c r="T44" s="41">
        <v>8.227879404388E-4</v>
      </c>
    </row>
    <row r="45">
      <c r="A45" s="41">
        <v>8031.0</v>
      </c>
      <c r="B45" s="41">
        <v>333.475778226998</v>
      </c>
      <c r="C45" s="41">
        <v>0.0039402644659636</v>
      </c>
      <c r="D45" s="41">
        <v>0.0039333916075361</v>
      </c>
      <c r="E45" s="41">
        <v>0.0064240756948119</v>
      </c>
      <c r="F45" s="41">
        <v>9.253756429888E-4</v>
      </c>
      <c r="H45" s="41">
        <v>8715.0</v>
      </c>
      <c r="I45" s="41">
        <v>286.496813605999</v>
      </c>
      <c r="J45" s="41">
        <v>0.0045373233355831</v>
      </c>
      <c r="K45" s="41">
        <v>0.0033788605335749</v>
      </c>
      <c r="L45" s="41">
        <v>0.00546405437124</v>
      </c>
      <c r="M45" s="41">
        <v>7.949083292083E-4</v>
      </c>
      <c r="O45" s="41">
        <v>9004.0</v>
      </c>
      <c r="P45" s="41">
        <v>315.29089777</v>
      </c>
      <c r="Q45" s="41">
        <v>0.0037253065953146</v>
      </c>
      <c r="R45" s="41">
        <v>0.0037184965314992</v>
      </c>
      <c r="S45" s="41">
        <v>0.006074016525876</v>
      </c>
      <c r="T45" s="41">
        <v>8.748037182472E-4</v>
      </c>
    </row>
    <row r="46">
      <c r="A46" s="41">
        <v>6428.0</v>
      </c>
      <c r="B46" s="41">
        <v>222.393797077</v>
      </c>
      <c r="C46" s="41">
        <v>0.0026235691921834</v>
      </c>
      <c r="D46" s="41">
        <v>0.0026230015553846</v>
      </c>
      <c r="E46" s="41">
        <v>0.004272418417932</v>
      </c>
      <c r="F46" s="41">
        <v>6.171009265694E-4</v>
      </c>
      <c r="H46" s="41">
        <v>7745.0</v>
      </c>
      <c r="I46" s="41">
        <v>238.397982684999</v>
      </c>
      <c r="J46" s="41">
        <v>0.0037728435986249</v>
      </c>
      <c r="K46" s="41">
        <v>0.002811654741918</v>
      </c>
      <c r="L46" s="41">
        <v>0.0045408402993359</v>
      </c>
      <c r="M46" s="41">
        <v>6.614808215638E-4</v>
      </c>
      <c r="O46" s="41">
        <v>7969.0</v>
      </c>
      <c r="P46" s="41">
        <v>261.210375046999</v>
      </c>
      <c r="Q46" s="41">
        <v>0.0030854194810001</v>
      </c>
      <c r="R46" s="41">
        <v>0.0030804166279715</v>
      </c>
      <c r="S46" s="41">
        <v>0.005029889857242</v>
      </c>
      <c r="T46" s="41">
        <v>7.24710485175E-4</v>
      </c>
    </row>
    <row r="47">
      <c r="A47" s="41">
        <v>7390.0</v>
      </c>
      <c r="B47" s="41">
        <v>297.258751794999</v>
      </c>
      <c r="C47" s="41">
        <v>0.0035098403536598</v>
      </c>
      <c r="D47" s="41">
        <v>0.003506023216659</v>
      </c>
      <c r="E47" s="41">
        <v>0.0057194820755819</v>
      </c>
      <c r="F47" s="41">
        <v>8.248296067555E-4</v>
      </c>
      <c r="H47" s="41">
        <v>8107.0</v>
      </c>
      <c r="I47" s="41">
        <v>256.828902197999</v>
      </c>
      <c r="J47" s="41">
        <v>0.0040630442352475</v>
      </c>
      <c r="K47" s="41">
        <v>0.0030292018607618</v>
      </c>
      <c r="L47" s="41">
        <v>0.004888563077514</v>
      </c>
      <c r="M47" s="41">
        <v>7.126321560277E-4</v>
      </c>
      <c r="O47" s="41">
        <v>8288.0</v>
      </c>
      <c r="P47" s="41">
        <v>276.399755025999</v>
      </c>
      <c r="Q47" s="41">
        <v>0.0032663456416225</v>
      </c>
      <c r="R47" s="41">
        <v>0.0032600544525985</v>
      </c>
      <c r="S47" s="41">
        <v>0.0053260598163999</v>
      </c>
      <c r="T47" s="41">
        <v>7.669799707305E-4</v>
      </c>
    </row>
    <row r="48">
      <c r="A48" s="41">
        <v>7119.0</v>
      </c>
      <c r="B48" s="41">
        <v>274.687832808998</v>
      </c>
      <c r="C48" s="41">
        <v>0.0032423042544795</v>
      </c>
      <c r="D48" s="41">
        <v>0.0032393505078042</v>
      </c>
      <c r="E48" s="41">
        <v>0.0052828264484799</v>
      </c>
      <c r="F48" s="41">
        <v>7.620754080666E-4</v>
      </c>
      <c r="H48" s="41">
        <v>7795.0</v>
      </c>
      <c r="I48" s="41">
        <v>236.822163185999</v>
      </c>
      <c r="J48" s="41">
        <v>0.0037463938451504</v>
      </c>
      <c r="K48" s="41">
        <v>0.0027933148621381</v>
      </c>
      <c r="L48" s="41">
        <v>0.0045073486058759</v>
      </c>
      <c r="M48" s="41">
        <v>6.571299211916E-4</v>
      </c>
      <c r="O48" s="41">
        <v>8434.0</v>
      </c>
      <c r="P48" s="41">
        <v>292.620761141999</v>
      </c>
      <c r="Q48" s="41">
        <v>0.0034581388837739</v>
      </c>
      <c r="R48" s="41">
        <v>0.0034509155310138</v>
      </c>
      <c r="S48" s="41">
        <v>0.005639499789374</v>
      </c>
      <c r="T48" s="41">
        <v>8.118737888388E-4</v>
      </c>
    </row>
    <row r="49">
      <c r="A49" s="41">
        <v>7388.0</v>
      </c>
      <c r="B49" s="41">
        <v>266.380923401</v>
      </c>
      <c r="C49" s="41">
        <v>0.0031445031528111</v>
      </c>
      <c r="D49" s="41">
        <v>0.0031412270101423</v>
      </c>
      <c r="E49" s="41">
        <v>0.005123980765848</v>
      </c>
      <c r="F49" s="41">
        <v>7.389937238722E-4</v>
      </c>
      <c r="H49" s="41">
        <v>9018.0</v>
      </c>
      <c r="I49" s="41">
        <v>287.233232244001</v>
      </c>
      <c r="J49" s="41">
        <v>0.0045460918778636</v>
      </c>
      <c r="K49" s="41">
        <v>0.0033880476067319</v>
      </c>
      <c r="L49" s="41">
        <v>0.0054713321548399</v>
      </c>
      <c r="M49" s="41">
        <v>7.970689161916E-4</v>
      </c>
      <c r="O49" s="41">
        <v>9466.0</v>
      </c>
      <c r="P49" s="41">
        <v>327.172172358999</v>
      </c>
      <c r="Q49" s="41">
        <v>0.003867763761553</v>
      </c>
      <c r="R49" s="41">
        <v>0.0038580188539132</v>
      </c>
      <c r="S49" s="41">
        <v>0.0063095892143339</v>
      </c>
      <c r="T49" s="41">
        <v>9.076310301E-4</v>
      </c>
    </row>
    <row r="50">
      <c r="A50" s="41">
        <v>6611.0</v>
      </c>
      <c r="B50" s="41">
        <v>249.277991647999</v>
      </c>
      <c r="C50" s="41">
        <v>0.0029422808621639</v>
      </c>
      <c r="D50" s="41">
        <v>0.0029398220041958</v>
      </c>
      <c r="E50" s="41">
        <v>0.0047937418905459</v>
      </c>
      <c r="F50" s="41">
        <v>6.915794314555E-4</v>
      </c>
      <c r="H50" s="41">
        <v>7952.0</v>
      </c>
      <c r="I50" s="41">
        <v>257.178670828998</v>
      </c>
      <c r="J50" s="41">
        <v>0.004068462951206</v>
      </c>
      <c r="K50" s="41">
        <v>0.0030331366366326</v>
      </c>
      <c r="L50" s="41">
        <v>0.00489518169392</v>
      </c>
      <c r="M50" s="41">
        <v>7.135887714583E-4</v>
      </c>
      <c r="O50" s="41">
        <v>8290.0</v>
      </c>
      <c r="P50" s="41">
        <v>288.940331990001</v>
      </c>
      <c r="Q50" s="41">
        <v>0.0034139048678396</v>
      </c>
      <c r="R50" s="41">
        <v>0.0034079722024875</v>
      </c>
      <c r="S50" s="41">
        <v>0.005565895563824</v>
      </c>
      <c r="T50" s="41">
        <v>8.017584097694E-4</v>
      </c>
    </row>
    <row r="51">
      <c r="A51" s="41">
        <v>8523.0</v>
      </c>
      <c r="B51" s="41">
        <v>371.151400139999</v>
      </c>
      <c r="C51" s="41">
        <v>0.0043847957826881</v>
      </c>
      <c r="D51" s="41">
        <v>0.0043772420569222</v>
      </c>
      <c r="E51" s="41">
        <v>0.007148692941172</v>
      </c>
      <c r="F51" s="41">
        <v>0.0010298115998305</v>
      </c>
      <c r="H51" s="41">
        <v>8714.0</v>
      </c>
      <c r="I51" s="41">
        <v>277.944417155</v>
      </c>
      <c r="J51" s="41">
        <v>0.0043970400973595</v>
      </c>
      <c r="K51" s="41">
        <v>0.0032782864609916</v>
      </c>
      <c r="L51" s="41">
        <v>0.0052903172878059</v>
      </c>
      <c r="M51" s="41">
        <v>7.71240929875E-4</v>
      </c>
      <c r="O51" s="41">
        <v>10608.0</v>
      </c>
      <c r="P51" s="41">
        <v>435.436169724998</v>
      </c>
      <c r="Q51" s="41">
        <v>0.0051496492443085</v>
      </c>
      <c r="R51" s="41">
        <v>0.005135331760025</v>
      </c>
      <c r="S51" s="41">
        <v>0.008402406999698</v>
      </c>
      <c r="T51" s="41">
        <v>0.0012081454693694</v>
      </c>
    </row>
    <row r="52">
      <c r="A52" s="41">
        <v>6832.0</v>
      </c>
      <c r="B52" s="41">
        <v>224.838514196002</v>
      </c>
      <c r="C52" s="41">
        <v>0.0026518612581817</v>
      </c>
      <c r="D52" s="41">
        <v>0.0026516666455715</v>
      </c>
      <c r="E52" s="41">
        <v>0.0043180226210819</v>
      </c>
      <c r="F52" s="41">
        <v>6.238452149389E-4</v>
      </c>
      <c r="H52" s="41">
        <v>8193.0</v>
      </c>
      <c r="I52" s="41">
        <v>239.225997753999</v>
      </c>
      <c r="J52" s="41">
        <v>0.003782215848616</v>
      </c>
      <c r="K52" s="41">
        <v>0.0028212808475361</v>
      </c>
      <c r="L52" s="41">
        <v>0.0045488616946419</v>
      </c>
      <c r="M52" s="41">
        <v>6.637411125333E-4</v>
      </c>
      <c r="O52" s="41">
        <v>8819.0</v>
      </c>
      <c r="P52" s="41">
        <v>290.696030438999</v>
      </c>
      <c r="Q52" s="41">
        <v>0.003434595805277</v>
      </c>
      <c r="R52" s="41">
        <v>0.0034281739638229</v>
      </c>
      <c r="S52" s="41">
        <v>0.0056001858690339</v>
      </c>
      <c r="T52" s="41">
        <v>8.065142946027E-4</v>
      </c>
    </row>
    <row r="53">
      <c r="A53" s="41">
        <v>7476.0</v>
      </c>
      <c r="B53" s="41">
        <v>285.298392739001</v>
      </c>
      <c r="C53" s="41">
        <v>0.0033681406062584</v>
      </c>
      <c r="D53" s="41">
        <v>0.0033649687923839</v>
      </c>
      <c r="E53" s="41">
        <v>0.005487971612596</v>
      </c>
      <c r="F53" s="41">
        <v>7.916410200722E-4</v>
      </c>
      <c r="H53" s="41">
        <v>8585.0</v>
      </c>
      <c r="I53" s="41">
        <v>271.243980249</v>
      </c>
      <c r="J53" s="41">
        <v>0.004293874174852</v>
      </c>
      <c r="K53" s="41">
        <v>0.0031983376288103</v>
      </c>
      <c r="L53" s="41">
        <v>0.005169914135928</v>
      </c>
      <c r="M53" s="41">
        <v>7.524560238861E-4</v>
      </c>
      <c r="O53" s="41">
        <v>8842.0</v>
      </c>
      <c r="P53" s="41">
        <v>294.643571</v>
      </c>
      <c r="Q53" s="41">
        <v>0.0034832100278685</v>
      </c>
      <c r="R53" s="41">
        <v>0.0034750855247394</v>
      </c>
      <c r="S53" s="41">
        <v>0.005681503711866</v>
      </c>
      <c r="T53" s="41">
        <v>8.174904297583E-4</v>
      </c>
    </row>
    <row r="54">
      <c r="A54" s="41">
        <v>7481.0</v>
      </c>
      <c r="B54" s="41">
        <v>283.862744713002</v>
      </c>
      <c r="C54" s="41">
        <v>0.0033507249857891</v>
      </c>
      <c r="D54" s="41">
        <v>0.0033480472852917</v>
      </c>
      <c r="E54" s="41">
        <v>0.005458997144972</v>
      </c>
      <c r="F54" s="41">
        <v>7.876678268055E-4</v>
      </c>
      <c r="H54" s="41">
        <v>8484.0</v>
      </c>
      <c r="I54" s="41">
        <v>263.736074624999</v>
      </c>
      <c r="J54" s="41">
        <v>0.004172740041394</v>
      </c>
      <c r="K54" s="41">
        <v>0.0031106218174569</v>
      </c>
      <c r="L54" s="41">
        <v>0.00502098040567</v>
      </c>
      <c r="M54" s="41">
        <v>7.318020234027E-4</v>
      </c>
      <c r="O54" s="41">
        <v>9546.0</v>
      </c>
      <c r="P54" s="41">
        <v>350.247512931</v>
      </c>
      <c r="Q54" s="41">
        <v>0.0041392138030111</v>
      </c>
      <c r="R54" s="41">
        <v>0.0041304298525833</v>
      </c>
      <c r="S54" s="41">
        <v>0.0067503590113939</v>
      </c>
      <c r="T54" s="41">
        <v>9.717402390722E-4</v>
      </c>
    </row>
    <row r="55">
      <c r="A55" s="41">
        <v>8792.0</v>
      </c>
      <c r="B55" s="41">
        <v>385.691858907997</v>
      </c>
      <c r="C55" s="41">
        <v>0.004555735915824</v>
      </c>
      <c r="D55" s="41">
        <v>0.0045488607032685</v>
      </c>
      <c r="E55" s="41">
        <v>0.0074262117742979</v>
      </c>
      <c r="F55" s="41">
        <v>0.0010701566644583</v>
      </c>
      <c r="H55" s="41">
        <v>8949.0</v>
      </c>
      <c r="I55" s="41">
        <v>287.19431092</v>
      </c>
      <c r="J55" s="41">
        <v>0.0045465694415845</v>
      </c>
      <c r="K55" s="41">
        <v>0.0033869668483659</v>
      </c>
      <c r="L55" s="41">
        <v>0.005473669934488</v>
      </c>
      <c r="M55" s="41">
        <v>7.968262979805E-4</v>
      </c>
      <c r="O55" s="41">
        <v>9539.0</v>
      </c>
      <c r="P55" s="41">
        <v>336.829622211</v>
      </c>
      <c r="Q55" s="41">
        <v>0.0039826769128267</v>
      </c>
      <c r="R55" s="41">
        <v>0.0039724978329124</v>
      </c>
      <c r="S55" s="41">
        <v>0.006497233253338</v>
      </c>
      <c r="T55" s="41">
        <v>9.345587774388E-4</v>
      </c>
    </row>
    <row r="56">
      <c r="A56" s="41">
        <v>7349.0</v>
      </c>
      <c r="B56" s="41">
        <v>287.338451809999</v>
      </c>
      <c r="C56" s="41">
        <v>0.0033922261362182</v>
      </c>
      <c r="D56" s="41">
        <v>0.0033883153422938</v>
      </c>
      <c r="E56" s="41">
        <v>0.005528078589126</v>
      </c>
      <c r="F56" s="41">
        <v>7.971557707972E-4</v>
      </c>
      <c r="H56" s="41">
        <v>8424.0</v>
      </c>
      <c r="I56" s="41">
        <v>277.689631555998</v>
      </c>
      <c r="J56" s="41">
        <v>0.0043913933930675</v>
      </c>
      <c r="K56" s="41">
        <v>0.0032748341971832</v>
      </c>
      <c r="L56" s="41">
        <v>0.0052825733927219</v>
      </c>
      <c r="M56" s="41">
        <v>7.704428062805E-4</v>
      </c>
      <c r="O56" s="41">
        <v>8936.0</v>
      </c>
      <c r="P56" s="41">
        <v>317.647546489999</v>
      </c>
      <c r="Q56" s="41">
        <v>0.0037542933218403</v>
      </c>
      <c r="R56" s="41">
        <v>0.0037456829487118</v>
      </c>
      <c r="S56" s="41">
        <v>0.00612343684319</v>
      </c>
      <c r="T56" s="41">
        <v>8.8119970745E-4</v>
      </c>
    </row>
    <row r="57">
      <c r="A57" s="41">
        <v>7478.0</v>
      </c>
      <c r="B57" s="41">
        <v>276.412326007997</v>
      </c>
      <c r="C57" s="41">
        <v>0.0032623450462561</v>
      </c>
      <c r="D57" s="41">
        <v>0.0032596813873506</v>
      </c>
      <c r="E57" s="41">
        <v>0.0053150875854</v>
      </c>
      <c r="F57" s="41">
        <v>7.668696680972E-4</v>
      </c>
      <c r="H57" s="41">
        <v>8341.0</v>
      </c>
      <c r="I57" s="41">
        <v>246.943836145999</v>
      </c>
      <c r="J57" s="41">
        <v>0.003905851484437</v>
      </c>
      <c r="K57" s="41">
        <v>0.0029121956338895</v>
      </c>
      <c r="L57" s="41">
        <v>0.004699211259366</v>
      </c>
      <c r="M57" s="41">
        <v>6.850937969499E-4</v>
      </c>
      <c r="O57" s="41">
        <v>9429.0</v>
      </c>
      <c r="P57" s="41">
        <v>331.822085073999</v>
      </c>
      <c r="Q57" s="41">
        <v>0.0039225634887965</v>
      </c>
      <c r="R57" s="41">
        <v>0.0039140008828972</v>
      </c>
      <c r="S57" s="41">
        <v>0.0063973406734239</v>
      </c>
      <c r="T57" s="41">
        <v>9.208151096861E-4</v>
      </c>
    </row>
    <row r="58">
      <c r="A58" s="41">
        <v>7402.0</v>
      </c>
      <c r="B58" s="41">
        <v>303.158103131998</v>
      </c>
      <c r="C58" s="41">
        <v>0.0035799844462315</v>
      </c>
      <c r="D58" s="41">
        <v>0.0035755509936374</v>
      </c>
      <c r="E58" s="41">
        <v>0.0058344860564739</v>
      </c>
      <c r="F58" s="41">
        <v>8.41153600286E-4</v>
      </c>
      <c r="H58" s="41">
        <v>8501.0</v>
      </c>
      <c r="I58" s="41">
        <v>290.484512514</v>
      </c>
      <c r="J58" s="41">
        <v>0.0045988355675416</v>
      </c>
      <c r="K58" s="41">
        <v>0.003426095862868</v>
      </c>
      <c r="L58" s="41">
        <v>0.00553638081799</v>
      </c>
      <c r="M58" s="41">
        <v>8.060059694111E-4</v>
      </c>
      <c r="O58" s="41">
        <v>8432.0</v>
      </c>
      <c r="P58" s="41">
        <v>352.093123563001</v>
      </c>
      <c r="Q58" s="41">
        <v>0.0039561271306361</v>
      </c>
      <c r="R58" s="41">
        <v>0.0041522517037777</v>
      </c>
      <c r="S58" s="41">
        <v>0.006199149681538</v>
      </c>
      <c r="T58" s="41">
        <v>9.768638802083E-4</v>
      </c>
    </row>
    <row r="59">
      <c r="A59" s="41">
        <v>7749.0</v>
      </c>
      <c r="B59" s="41">
        <v>342.613702449998</v>
      </c>
      <c r="C59" s="41">
        <v>0.0040453727919703</v>
      </c>
      <c r="D59" s="41">
        <v>0.0040410840489297</v>
      </c>
      <c r="E59" s="41">
        <v>0.00659202471806</v>
      </c>
      <c r="F59" s="41">
        <v>9.507090862055E-4</v>
      </c>
      <c r="H59" s="41">
        <v>7886.0</v>
      </c>
      <c r="I59" s="41">
        <v>256.279413963999</v>
      </c>
      <c r="J59" s="41">
        <v>0.0040557105025481</v>
      </c>
      <c r="K59" s="41">
        <v>0.0030219138611937</v>
      </c>
      <c r="L59" s="41">
        <v>0.004881986961142</v>
      </c>
      <c r="M59" s="41">
        <v>7.109185372166E-4</v>
      </c>
      <c r="O59" s="41">
        <v>8162.0</v>
      </c>
      <c r="P59" s="41">
        <v>280.130007965999</v>
      </c>
      <c r="Q59" s="41">
        <v>0.0033105203087426</v>
      </c>
      <c r="R59" s="41">
        <v>0.0033039276129716</v>
      </c>
      <c r="S59" s="41">
        <v>0.005398380152034</v>
      </c>
      <c r="T59" s="41">
        <v>7.772794641111E-4</v>
      </c>
    </row>
    <row r="60">
      <c r="A60" s="41">
        <v>7379.0</v>
      </c>
      <c r="B60" s="41">
        <v>281.319122783002</v>
      </c>
      <c r="C60" s="41">
        <v>0.0033219581703808</v>
      </c>
      <c r="D60" s="41">
        <v>0.0033178254505868</v>
      </c>
      <c r="E60" s="41">
        <v>0.005413955164494</v>
      </c>
      <c r="F60" s="41">
        <v>7.805586279194E-4</v>
      </c>
      <c r="H60" s="41">
        <v>8830.0</v>
      </c>
      <c r="I60" s="41">
        <v>292.896250800999</v>
      </c>
      <c r="J60" s="41">
        <v>0.0046375772155279</v>
      </c>
      <c r="K60" s="41">
        <v>0.0034549006032617</v>
      </c>
      <c r="L60" s="41">
        <v>0.005583063633114</v>
      </c>
      <c r="M60" s="41">
        <v>8.128103572861E-4</v>
      </c>
      <c r="O60" s="41">
        <v>9483.0</v>
      </c>
      <c r="P60" s="41">
        <v>351.398336459999</v>
      </c>
      <c r="Q60" s="41">
        <v>0.0041538180390025</v>
      </c>
      <c r="R60" s="41">
        <v>0.0041444453911034</v>
      </c>
      <c r="S60" s="41">
        <v>0.006774862086552</v>
      </c>
      <c r="T60" s="41">
        <v>9.750404683805E-4</v>
      </c>
    </row>
    <row r="61">
      <c r="A61" s="41">
        <v>6804.0</v>
      </c>
      <c r="B61" s="41">
        <v>260.688527089998</v>
      </c>
      <c r="C61" s="41">
        <v>0.003075046558276</v>
      </c>
      <c r="D61" s="41">
        <v>0.003074190044972</v>
      </c>
      <c r="E61" s="41">
        <v>0.005007880950746</v>
      </c>
      <c r="F61" s="41">
        <v>7.232433851638E-4</v>
      </c>
      <c r="H61" s="41">
        <v>8215.0</v>
      </c>
      <c r="I61" s="41">
        <v>280.252229505</v>
      </c>
      <c r="J61" s="41">
        <v>0.0044259729387887</v>
      </c>
      <c r="K61" s="41">
        <v>0.0033052647618548</v>
      </c>
      <c r="L61" s="41">
        <v>0.005318424254736</v>
      </c>
      <c r="M61" s="41">
        <v>7.776125146639E-4</v>
      </c>
      <c r="O61" s="41">
        <v>8685.0</v>
      </c>
      <c r="P61" s="41">
        <v>320.733182981002</v>
      </c>
      <c r="Q61" s="41">
        <v>0.0037906850884666</v>
      </c>
      <c r="R61" s="41">
        <v>0.0037828716459368</v>
      </c>
      <c r="S61" s="41">
        <v>0.0061816971675759</v>
      </c>
      <c r="T61" s="41">
        <v>8.899575457833E-4</v>
      </c>
    </row>
    <row r="62">
      <c r="A62" s="41">
        <v>7063.0</v>
      </c>
      <c r="B62" s="41">
        <v>252.692842054999</v>
      </c>
      <c r="C62" s="41">
        <v>0.0029823790896326</v>
      </c>
      <c r="D62" s="41">
        <v>0.0029806095414721</v>
      </c>
      <c r="E62" s="41">
        <v>0.004858118886492</v>
      </c>
      <c r="F62" s="41">
        <v>7.012351106388E-4</v>
      </c>
      <c r="H62" s="41">
        <v>8291.0</v>
      </c>
      <c r="I62" s="41">
        <v>257.541833286999</v>
      </c>
      <c r="J62" s="41">
        <v>0.0040745468185595</v>
      </c>
      <c r="K62" s="41">
        <v>0.0030373959661616</v>
      </c>
      <c r="L62" s="41">
        <v>0.00490284142227</v>
      </c>
      <c r="M62" s="41">
        <v>7.145925832527E-4</v>
      </c>
      <c r="O62" s="41">
        <v>9166.0</v>
      </c>
      <c r="P62" s="41">
        <v>327.245171435002</v>
      </c>
      <c r="Q62" s="41">
        <v>0.0038688980616164</v>
      </c>
      <c r="R62" s="41">
        <v>0.0038595299106124</v>
      </c>
      <c r="S62" s="41">
        <v>0.006310947270976</v>
      </c>
      <c r="T62" s="41">
        <v>9.080099549499E-4</v>
      </c>
    </row>
    <row r="63">
      <c r="A63" s="41">
        <v>7332.0</v>
      </c>
      <c r="B63" s="41">
        <v>282.039043087999</v>
      </c>
      <c r="C63" s="41">
        <v>0.0033310319163351</v>
      </c>
      <c r="D63" s="41">
        <v>0.0033269282557472</v>
      </c>
      <c r="E63" s="41">
        <v>0.005428685454056</v>
      </c>
      <c r="F63" s="41">
        <v>7.827079644305E-4</v>
      </c>
      <c r="H63" s="41">
        <v>8156.0</v>
      </c>
      <c r="I63" s="41">
        <v>250.483548692998</v>
      </c>
      <c r="J63" s="41">
        <v>0.0039602565135415</v>
      </c>
      <c r="K63" s="41">
        <v>0.0029541703468402</v>
      </c>
      <c r="L63" s="41">
        <v>0.004762897699204</v>
      </c>
      <c r="M63" s="41">
        <v>6.949955024305E-4</v>
      </c>
      <c r="O63" s="41">
        <v>8686.0</v>
      </c>
      <c r="P63" s="41">
        <v>293.222578864999</v>
      </c>
      <c r="Q63" s="41">
        <v>0.0034663057150026</v>
      </c>
      <c r="R63" s="41">
        <v>0.0034581812936965</v>
      </c>
      <c r="S63" s="41">
        <v>0.005653947023154</v>
      </c>
      <c r="T63" s="41">
        <v>8.135462973111E-4</v>
      </c>
    </row>
    <row r="64">
      <c r="A64" s="41">
        <v>7924.0</v>
      </c>
      <c r="B64" s="41">
        <v>347.587993399</v>
      </c>
      <c r="C64" s="41">
        <v>0.0041059580654319</v>
      </c>
      <c r="D64" s="41">
        <v>0.0040991831728903</v>
      </c>
      <c r="E64" s="41">
        <v>0.006693736466096</v>
      </c>
      <c r="F64" s="41">
        <v>9.643825402416E-4</v>
      </c>
      <c r="H64" s="41">
        <v>8465.0</v>
      </c>
      <c r="I64" s="41">
        <v>287.777468225001</v>
      </c>
      <c r="J64" s="41">
        <v>0.0045562185890583</v>
      </c>
      <c r="K64" s="41">
        <v>0.0033932027711653</v>
      </c>
      <c r="L64" s="41">
        <v>0.0054864782780679</v>
      </c>
      <c r="M64" s="41">
        <v>7.982779872194E-4</v>
      </c>
      <c r="O64" s="41">
        <v>8870.0</v>
      </c>
      <c r="P64" s="41">
        <v>327.139283604003</v>
      </c>
      <c r="Q64" s="41">
        <v>0.0038647978046503</v>
      </c>
      <c r="R64" s="41">
        <v>0.0038578315976264</v>
      </c>
      <c r="S64" s="41">
        <v>0.0063013233743879</v>
      </c>
      <c r="T64" s="41">
        <v>9.075911872916E-4</v>
      </c>
    </row>
    <row r="65">
      <c r="A65" s="41">
        <v>7583.0</v>
      </c>
      <c r="B65" s="41">
        <v>298.782231885998</v>
      </c>
      <c r="C65" s="41">
        <v>0.0035282529861228</v>
      </c>
      <c r="D65" s="41">
        <v>0.0035240528180465</v>
      </c>
      <c r="E65" s="41">
        <v>0.005749935433278</v>
      </c>
      <c r="F65" s="41">
        <v>8.290707330944E-4</v>
      </c>
      <c r="H65" s="41">
        <v>8417.0</v>
      </c>
      <c r="I65" s="41">
        <v>262.608092423997</v>
      </c>
      <c r="J65" s="41">
        <v>0.004156700340295</v>
      </c>
      <c r="K65" s="41">
        <v>0.0030973814822185</v>
      </c>
      <c r="L65" s="41">
        <v>0.005003289835962</v>
      </c>
      <c r="M65" s="41">
        <v>7.286626643444E-4</v>
      </c>
      <c r="O65" s="41">
        <v>9246.0</v>
      </c>
      <c r="P65" s="41">
        <v>332.192765711002</v>
      </c>
      <c r="Q65" s="41">
        <v>0.0039262901282683</v>
      </c>
      <c r="R65" s="41">
        <v>0.0039172768593382</v>
      </c>
      <c r="S65" s="41">
        <v>0.0064039542898259</v>
      </c>
      <c r="T65" s="41">
        <v>9.21596650275E-4</v>
      </c>
    </row>
    <row r="66">
      <c r="A66" s="41">
        <v>7916.0</v>
      </c>
      <c r="B66" s="41">
        <v>343.951625808</v>
      </c>
      <c r="C66" s="41">
        <v>0.00406350114593</v>
      </c>
      <c r="D66" s="41">
        <v>0.0040567605943494</v>
      </c>
      <c r="E66" s="41">
        <v>0.006624550577414</v>
      </c>
      <c r="F66" s="41">
        <v>9.544167428888E-4</v>
      </c>
      <c r="H66" s="41">
        <v>7931.0</v>
      </c>
      <c r="I66" s="41">
        <v>246.012524728998</v>
      </c>
      <c r="J66" s="41">
        <v>0.0038917470951999</v>
      </c>
      <c r="K66" s="41">
        <v>0.0029012667863492</v>
      </c>
      <c r="L66" s="41">
        <v>0.0046827151350579</v>
      </c>
      <c r="M66" s="41">
        <v>6.825593411277E-4</v>
      </c>
      <c r="O66" s="41">
        <v>8411.0</v>
      </c>
      <c r="P66" s="41">
        <v>284.146630482999</v>
      </c>
      <c r="Q66" s="41">
        <v>0.0033584787251848</v>
      </c>
      <c r="R66" s="41">
        <v>0.0033515420282513</v>
      </c>
      <c r="S66" s="41">
        <v>0.005476853548146</v>
      </c>
      <c r="T66" s="41">
        <v>7.885193080833E-4</v>
      </c>
    </row>
    <row r="67">
      <c r="A67" s="41">
        <v>7782.0</v>
      </c>
      <c r="B67" s="41">
        <v>336.435465102</v>
      </c>
      <c r="C67" s="41">
        <v>0.0039737879847437</v>
      </c>
      <c r="D67" s="41">
        <v>0.0039680460647881</v>
      </c>
      <c r="E67" s="41">
        <v>0.006477269348478</v>
      </c>
      <c r="F67" s="41">
        <v>9.335212402694E-4</v>
      </c>
      <c r="H67" s="41">
        <v>8710.0</v>
      </c>
      <c r="I67" s="41">
        <v>301.818483422001</v>
      </c>
      <c r="J67" s="41">
        <v>0.0047822777281739</v>
      </c>
      <c r="K67" s="41">
        <v>0.0035598012122062</v>
      </c>
      <c r="L67" s="41">
        <v>0.00576086710869</v>
      </c>
      <c r="M67" s="41">
        <v>8.374676529472E-4</v>
      </c>
      <c r="O67" s="41">
        <v>9272.0</v>
      </c>
      <c r="P67" s="41">
        <v>351.173038634999</v>
      </c>
      <c r="Q67" s="41">
        <v>0.004151075767364</v>
      </c>
      <c r="R67" s="41">
        <v>0.0041410883306007</v>
      </c>
      <c r="S67" s="41">
        <v>0.0067711570835879</v>
      </c>
      <c r="T67" s="41">
        <v>9.74250109636E-4</v>
      </c>
    </row>
    <row r="68">
      <c r="A68" s="41">
        <v>7348.0</v>
      </c>
      <c r="B68" s="41">
        <v>291.755926792</v>
      </c>
      <c r="C68" s="41">
        <v>0.0034461308717669</v>
      </c>
      <c r="D68" s="41">
        <v>0.0034409781052694</v>
      </c>
      <c r="E68" s="41">
        <v>0.0056174150494839</v>
      </c>
      <c r="F68" s="41">
        <v>8.095113301083E-4</v>
      </c>
      <c r="H68" s="41">
        <v>8110.0</v>
      </c>
      <c r="I68" s="41">
        <v>258.30826166</v>
      </c>
      <c r="J68" s="41">
        <v>0.0040878933409046</v>
      </c>
      <c r="K68" s="41">
        <v>0.0030461332075721</v>
      </c>
      <c r="L68" s="41">
        <v>0.00492039560298</v>
      </c>
      <c r="M68" s="41">
        <v>7.166507879138E-4</v>
      </c>
      <c r="O68" s="41">
        <v>8754.0</v>
      </c>
      <c r="P68" s="41">
        <v>307.841246129999</v>
      </c>
      <c r="Q68" s="41">
        <v>0.0036390199437615</v>
      </c>
      <c r="R68" s="41">
        <v>0.0036304081386776</v>
      </c>
      <c r="S68" s="41">
        <v>0.0059357330819159</v>
      </c>
      <c r="T68" s="41">
        <v>8.540960135E-4</v>
      </c>
    </row>
    <row r="69">
      <c r="A69" s="41">
        <v>7917.0</v>
      </c>
      <c r="B69" s="41">
        <v>326.803547168998</v>
      </c>
      <c r="C69" s="41">
        <v>0.0038602862948188</v>
      </c>
      <c r="D69" s="41">
        <v>0.0038547753775765</v>
      </c>
      <c r="E69" s="41">
        <v>0.006292165311506</v>
      </c>
      <c r="F69" s="41">
        <v>9.068868813027E-4</v>
      </c>
      <c r="H69" s="41">
        <v>8550.0</v>
      </c>
      <c r="I69" s="41">
        <v>274.482371237998</v>
      </c>
      <c r="J69" s="41">
        <v>0.0043419400048822</v>
      </c>
      <c r="K69" s="41">
        <v>0.0032367210309507</v>
      </c>
      <c r="L69" s="41">
        <v>0.00522461806858</v>
      </c>
      <c r="M69" s="41">
        <v>7.614663222499E-4</v>
      </c>
      <c r="O69" s="41">
        <v>9065.0</v>
      </c>
      <c r="P69" s="41">
        <v>318.927758616999</v>
      </c>
      <c r="Q69" s="41">
        <v>0.0037652867801588</v>
      </c>
      <c r="R69" s="41">
        <v>0.0037609852131826</v>
      </c>
      <c r="S69" s="41">
        <v>0.006136007964358</v>
      </c>
      <c r="T69" s="41">
        <v>8.848057985583E-4</v>
      </c>
    </row>
    <row r="70">
      <c r="A70" s="41">
        <v>9002.0</v>
      </c>
      <c r="B70" s="41">
        <v>441.693195929998</v>
      </c>
      <c r="C70" s="41">
        <v>0.0052212120132562</v>
      </c>
      <c r="D70" s="41">
        <v>0.0052088577809695</v>
      </c>
      <c r="E70" s="41">
        <v>0.0085165754243659</v>
      </c>
      <c r="F70" s="41">
        <v>0.0012253691173889</v>
      </c>
      <c r="H70" s="41">
        <v>8558.0</v>
      </c>
      <c r="I70" s="41">
        <v>295.035717227001</v>
      </c>
      <c r="J70" s="41">
        <v>0.0046757255986533</v>
      </c>
      <c r="K70" s="41">
        <v>0.0034794354990124</v>
      </c>
      <c r="L70" s="41">
        <v>0.0056337931181419</v>
      </c>
      <c r="M70" s="41">
        <v>8.185777536221E-4</v>
      </c>
      <c r="O70" s="41">
        <v>8350.0</v>
      </c>
      <c r="P70" s="41">
        <v>284.55413181</v>
      </c>
      <c r="Q70" s="41">
        <v>0.0033626604635726</v>
      </c>
      <c r="R70" s="41">
        <v>0.0033562132014805</v>
      </c>
      <c r="S70" s="41">
        <v>0.0054830988309199</v>
      </c>
      <c r="T70" s="41">
        <v>7.895771492055E-4</v>
      </c>
    </row>
    <row r="71">
      <c r="A71" s="41">
        <v>8119.0</v>
      </c>
      <c r="B71" s="41">
        <v>345.520471144998</v>
      </c>
      <c r="C71" s="41">
        <v>0.0040797413902814</v>
      </c>
      <c r="D71" s="41">
        <v>0.0040746275557096</v>
      </c>
      <c r="E71" s="41">
        <v>0.0066490419858959</v>
      </c>
      <c r="F71" s="41">
        <v>9.585618826444E-4</v>
      </c>
      <c r="H71" s="41">
        <v>8571.0</v>
      </c>
      <c r="I71" s="41">
        <v>274.652300994999</v>
      </c>
      <c r="J71" s="41">
        <v>0.0043457115874782</v>
      </c>
      <c r="K71" s="41">
        <v>0.0032393220608186</v>
      </c>
      <c r="L71" s="41">
        <v>0.005229421127978</v>
      </c>
      <c r="M71" s="41">
        <v>7.62073530325E-4</v>
      </c>
      <c r="O71" s="41">
        <v>8822.0</v>
      </c>
      <c r="P71" s="41">
        <v>297.146080008999</v>
      </c>
      <c r="Q71" s="41">
        <v>0.0035117258983131</v>
      </c>
      <c r="R71" s="41">
        <v>0.0035043213374035</v>
      </c>
      <c r="S71" s="41">
        <v>0.0057269895815879</v>
      </c>
      <c r="T71" s="41">
        <v>8.244231871833E-4</v>
      </c>
    </row>
    <row r="72">
      <c r="A72" s="41">
        <v>8900.0</v>
      </c>
      <c r="B72" s="41">
        <v>428.738025712002</v>
      </c>
      <c r="C72" s="41">
        <v>0.0050661562765237</v>
      </c>
      <c r="D72" s="41">
        <v>0.0050567638016361</v>
      </c>
      <c r="E72" s="41">
        <v>0.008260381330522</v>
      </c>
      <c r="F72" s="41">
        <v>0.0011896591948888</v>
      </c>
      <c r="H72" s="41">
        <v>8590.0</v>
      </c>
      <c r="I72" s="41">
        <v>294.633228177997</v>
      </c>
      <c r="J72" s="41">
        <v>0.0046665965959286</v>
      </c>
      <c r="K72" s="41">
        <v>0.0034752877805395</v>
      </c>
      <c r="L72" s="41">
        <v>0.0056195453289659</v>
      </c>
      <c r="M72" s="41">
        <v>8.175821559749E-4</v>
      </c>
      <c r="O72" s="41">
        <v>9091.0</v>
      </c>
      <c r="P72" s="41">
        <v>344.818561097999</v>
      </c>
      <c r="Q72" s="41">
        <v>0.0040757927535674</v>
      </c>
      <c r="R72" s="41">
        <v>0.0040668795544758</v>
      </c>
      <c r="S72" s="41">
        <v>0.006647261151138</v>
      </c>
      <c r="T72" s="41">
        <v>9.567839019805E-4</v>
      </c>
    </row>
    <row r="73">
      <c r="A73" s="41">
        <v>7625.0</v>
      </c>
      <c r="B73" s="41">
        <v>308.849333958998</v>
      </c>
      <c r="C73" s="41">
        <v>0.0036464762080714</v>
      </c>
      <c r="D73" s="41">
        <v>0.0036425400800783</v>
      </c>
      <c r="E73" s="41">
        <v>0.005942091142558</v>
      </c>
      <c r="F73" s="41">
        <v>8.569568268388E-4</v>
      </c>
      <c r="H73" s="41">
        <v>8689.0</v>
      </c>
      <c r="I73" s="41">
        <v>289.331138751</v>
      </c>
      <c r="J73" s="41">
        <v>0.0045817049856306</v>
      </c>
      <c r="K73" s="41">
        <v>0.0034124120507194</v>
      </c>
      <c r="L73" s="41">
        <v>0.0055168746912739</v>
      </c>
      <c r="M73" s="41">
        <v>8.02808481561E-4</v>
      </c>
      <c r="O73" s="41">
        <v>9652.0</v>
      </c>
      <c r="P73" s="41">
        <v>374.474673574997</v>
      </c>
      <c r="Q73" s="41">
        <v>0.004428048516765</v>
      </c>
      <c r="R73" s="41">
        <v>0.0044156163370869</v>
      </c>
      <c r="S73" s="41">
        <v>0.007225159113456</v>
      </c>
      <c r="T73" s="41">
        <v>0.0010388242059166</v>
      </c>
    </row>
    <row r="74">
      <c r="A74" s="41">
        <v>6760.0</v>
      </c>
      <c r="B74" s="41">
        <v>237.77007228</v>
      </c>
      <c r="C74" s="41">
        <v>0.0028054526381039</v>
      </c>
      <c r="D74" s="41">
        <v>0.002804332232716</v>
      </c>
      <c r="E74" s="41">
        <v>0.0045692614331839</v>
      </c>
      <c r="F74" s="41">
        <v>6.597456644249E-4</v>
      </c>
      <c r="H74" s="41">
        <v>7907.0</v>
      </c>
      <c r="I74" s="41">
        <v>236.238229606999</v>
      </c>
      <c r="J74" s="41">
        <v>0.0037361322739944</v>
      </c>
      <c r="K74" s="41">
        <v>0.0027863897425041</v>
      </c>
      <c r="L74" s="41">
        <v>0.004494097484164</v>
      </c>
      <c r="M74" s="41">
        <v>6.555093449889E-4</v>
      </c>
      <c r="O74" s="41">
        <v>8186.0</v>
      </c>
      <c r="P74" s="41">
        <v>263.371731286002</v>
      </c>
      <c r="Q74" s="41">
        <v>0.003112040583723</v>
      </c>
      <c r="R74" s="41">
        <v>0.0031064781267091</v>
      </c>
      <c r="S74" s="41">
        <v>0.005073944892486</v>
      </c>
      <c r="T74" s="41">
        <v>7.308227738139E-4</v>
      </c>
    </row>
    <row r="75">
      <c r="A75" s="41">
        <v>7885.0</v>
      </c>
      <c r="B75" s="41">
        <v>342.763553844</v>
      </c>
      <c r="C75" s="41">
        <v>0.0040465926651784</v>
      </c>
      <c r="D75" s="41">
        <v>0.0040423400311243</v>
      </c>
      <c r="E75" s="41">
        <v>0.0065939719418399</v>
      </c>
      <c r="F75" s="41">
        <v>9.509989548555E-4</v>
      </c>
      <c r="H75" s="41">
        <v>8372.0</v>
      </c>
      <c r="I75" s="41">
        <v>277.248846743998</v>
      </c>
      <c r="J75" s="41">
        <v>0.0043884487633987</v>
      </c>
      <c r="K75" s="41">
        <v>0.0032693487941736</v>
      </c>
      <c r="L75" s="41">
        <v>0.0052831122820419</v>
      </c>
      <c r="M75" s="41">
        <v>7.691345706083E-4</v>
      </c>
      <c r="O75" s="41">
        <v>8786.0</v>
      </c>
      <c r="P75" s="41">
        <v>325.518292602999</v>
      </c>
      <c r="Q75" s="41">
        <v>0.0038472079306583</v>
      </c>
      <c r="R75" s="41">
        <v>0.0038383705887776</v>
      </c>
      <c r="S75" s="41">
        <v>0.006274974742198</v>
      </c>
      <c r="T75" s="41">
        <v>9.030326899999E-4</v>
      </c>
    </row>
    <row r="76">
      <c r="A76" s="41">
        <v>8367.0</v>
      </c>
      <c r="B76" s="41">
        <v>380.712164132</v>
      </c>
      <c r="C76" s="41">
        <v>0.004497665181009</v>
      </c>
      <c r="D76" s="41">
        <v>0.0044893764317868</v>
      </c>
      <c r="E76" s="41">
        <v>0.007333374755584</v>
      </c>
      <c r="F76" s="41">
        <v>0.0010561939434416</v>
      </c>
      <c r="H76" s="41">
        <v>8267.0</v>
      </c>
      <c r="I76" s="41">
        <v>266.503908506001</v>
      </c>
      <c r="J76" s="41">
        <v>0.0042180536798121</v>
      </c>
      <c r="K76" s="41">
        <v>0.0031430680980299</v>
      </c>
      <c r="L76" s="41">
        <v>0.0050771357283719</v>
      </c>
      <c r="M76" s="41">
        <v>7.394520656166E-4</v>
      </c>
      <c r="O76" s="41">
        <v>8555.0</v>
      </c>
      <c r="P76" s="41">
        <v>292.120492109999</v>
      </c>
      <c r="Q76" s="41">
        <v>0.0034528203823098</v>
      </c>
      <c r="R76" s="41">
        <v>0.0034449263381041</v>
      </c>
      <c r="S76" s="41">
        <v>0.0056316547830979</v>
      </c>
      <c r="T76" s="41">
        <v>8.10478599936E-4</v>
      </c>
    </row>
    <row r="77">
      <c r="A77" s="41">
        <v>7060.0</v>
      </c>
      <c r="B77" s="41">
        <v>268.210729292</v>
      </c>
      <c r="C77" s="41">
        <v>0.0031666973018073</v>
      </c>
      <c r="D77" s="41">
        <v>0.0031637089138201</v>
      </c>
      <c r="E77" s="41">
        <v>0.00515975135002</v>
      </c>
      <c r="F77" s="41">
        <v>7.442935938888E-4</v>
      </c>
      <c r="H77" s="41">
        <v>8204.0</v>
      </c>
      <c r="I77" s="41">
        <v>259.568866059999</v>
      </c>
      <c r="J77" s="41">
        <v>0.0041027568925224</v>
      </c>
      <c r="K77" s="41">
        <v>0.0030614644619541</v>
      </c>
      <c r="L77" s="41">
        <v>0.004933044501988</v>
      </c>
      <c r="M77" s="41">
        <v>7.202426148583E-4</v>
      </c>
      <c r="O77" s="41">
        <v>7231.0</v>
      </c>
      <c r="P77" s="41">
        <v>357.272805743999</v>
      </c>
      <c r="Q77" s="41">
        <v>0.0040957842195743</v>
      </c>
      <c r="R77" s="41">
        <v>0.0042139537812229</v>
      </c>
      <c r="S77" s="41">
        <v>0.006522845218272</v>
      </c>
      <c r="T77" s="41">
        <v>9.913706415611E-4</v>
      </c>
    </row>
    <row r="78">
      <c r="A78" s="41">
        <v>7426.0</v>
      </c>
      <c r="B78" s="41">
        <v>295.861201741998</v>
      </c>
      <c r="C78" s="41">
        <v>0.0034938298756493</v>
      </c>
      <c r="D78" s="41">
        <v>0.003489408675013</v>
      </c>
      <c r="E78" s="41">
        <v>0.00569418649979</v>
      </c>
      <c r="F78" s="41">
        <v>8.208941444277E-4</v>
      </c>
      <c r="H78" s="41">
        <v>9578.0</v>
      </c>
      <c r="I78" s="41">
        <v>347.813012045</v>
      </c>
      <c r="J78" s="41">
        <v>0.005515541143004</v>
      </c>
      <c r="K78" s="41">
        <v>0.0041023127822118</v>
      </c>
      <c r="L78" s="41">
        <v>0.0066482614297159</v>
      </c>
      <c r="M78" s="41">
        <v>9.651018915083E-4</v>
      </c>
      <c r="O78" s="41">
        <v>9150.0</v>
      </c>
      <c r="P78" s="41">
        <v>333.648766225996</v>
      </c>
      <c r="Q78" s="41">
        <v>0.0039450643274156</v>
      </c>
      <c r="R78" s="41">
        <v>0.0039350042266153</v>
      </c>
      <c r="S78" s="41">
        <v>0.0064358373708879</v>
      </c>
      <c r="T78" s="41">
        <v>9.257456239833E-4</v>
      </c>
    </row>
    <row r="79">
      <c r="A79" s="41">
        <v>7158.0</v>
      </c>
      <c r="B79" s="41">
        <v>281.007509158</v>
      </c>
      <c r="C79" s="41">
        <v>0.0033166405115364</v>
      </c>
      <c r="D79" s="41">
        <v>0.0033140437619473</v>
      </c>
      <c r="E79" s="41">
        <v>0.0054034007116059</v>
      </c>
      <c r="F79" s="41">
        <v>7.796677941777E-4</v>
      </c>
      <c r="H79" s="41">
        <v>7763.0</v>
      </c>
      <c r="I79" s="41">
        <v>231.043442337999</v>
      </c>
      <c r="J79" s="41">
        <v>0.003653275674778</v>
      </c>
      <c r="K79" s="41">
        <v>0.0027245793229256</v>
      </c>
      <c r="L79" s="41">
        <v>0.004394427959984</v>
      </c>
      <c r="M79" s="41">
        <v>6.409918563499E-4</v>
      </c>
      <c r="O79" s="41">
        <v>5653.0</v>
      </c>
      <c r="P79" s="41">
        <v>266.611026684997</v>
      </c>
      <c r="Q79" s="41">
        <v>0.0031490974450266</v>
      </c>
      <c r="R79" s="41">
        <v>0.0031438659225152</v>
      </c>
      <c r="S79" s="41">
        <v>0.0051338366070659</v>
      </c>
      <c r="T79" s="41">
        <v>7.396546043666E-4</v>
      </c>
    </row>
    <row r="80">
      <c r="A80" s="41">
        <v>8018.0</v>
      </c>
      <c r="B80" s="41">
        <v>346.550458886998</v>
      </c>
      <c r="C80" s="41">
        <v>0.0040914631559768</v>
      </c>
      <c r="D80" s="41">
        <v>0.004086496606761</v>
      </c>
      <c r="E80" s="41">
        <v>0.00666792477878</v>
      </c>
      <c r="F80" s="41">
        <v>9.613750043416E-4</v>
      </c>
      <c r="H80" s="41">
        <v>8670.0</v>
      </c>
      <c r="I80" s="41">
        <v>284.189706686996</v>
      </c>
      <c r="J80" s="41">
        <v>0.0045007431824506</v>
      </c>
      <c r="K80" s="41">
        <v>0.0033521387547548</v>
      </c>
      <c r="L80" s="41">
        <v>0.005419338224356</v>
      </c>
      <c r="M80" s="41">
        <v>7.886455878694E-4</v>
      </c>
      <c r="O80" s="41">
        <v>9983.0</v>
      </c>
      <c r="P80" s="41">
        <v>457.934645205998</v>
      </c>
      <c r="Q80" s="41">
        <v>0.005209528764043</v>
      </c>
      <c r="R80" s="41">
        <v>0.0053998845430848</v>
      </c>
      <c r="S80" s="41">
        <v>0.008247055764306</v>
      </c>
      <c r="T80" s="41">
        <v>0.0012704073406277</v>
      </c>
    </row>
    <row r="81">
      <c r="A81" s="41">
        <v>8070.0</v>
      </c>
      <c r="B81" s="41">
        <v>351.640266969996</v>
      </c>
      <c r="C81" s="41">
        <v>0.0041537102009107</v>
      </c>
      <c r="D81" s="41">
        <v>0.0041472438686402</v>
      </c>
      <c r="E81" s="41">
        <v>0.0067711420835759</v>
      </c>
      <c r="F81" s="41">
        <v>9.756532023E-4</v>
      </c>
      <c r="H81" s="41">
        <v>8998.0</v>
      </c>
      <c r="I81" s="41">
        <v>312.270014114998</v>
      </c>
      <c r="J81" s="41">
        <v>0.0049437309134116</v>
      </c>
      <c r="K81" s="41">
        <v>0.0036829963490626</v>
      </c>
      <c r="L81" s="41">
        <v>0.0059516419835319</v>
      </c>
      <c r="M81" s="41">
        <v>8.664437230694E-4</v>
      </c>
      <c r="O81" s="41">
        <v>8856.0</v>
      </c>
      <c r="P81" s="41">
        <v>308.285241145</v>
      </c>
      <c r="Q81" s="41">
        <v>0.0036439948955664</v>
      </c>
      <c r="R81" s="41">
        <v>0.0036360893226598</v>
      </c>
      <c r="S81" s="41">
        <v>0.0059429591988079</v>
      </c>
      <c r="T81" s="41">
        <v>8.554343553639E-4</v>
      </c>
    </row>
    <row r="82">
      <c r="A82" s="41">
        <v>6594.0</v>
      </c>
      <c r="B82" s="41">
        <v>242.566482428999</v>
      </c>
      <c r="C82" s="41">
        <v>0.0028619994460942</v>
      </c>
      <c r="D82" s="41">
        <v>0.0028606317399936</v>
      </c>
      <c r="E82" s="41">
        <v>0.00466162039596</v>
      </c>
      <c r="F82" s="41">
        <v>6.730074814805E-4</v>
      </c>
      <c r="H82" s="41">
        <v>8674.0</v>
      </c>
      <c r="I82" s="41">
        <v>307.718086081</v>
      </c>
      <c r="J82" s="41">
        <v>0.0048731200321132</v>
      </c>
      <c r="K82" s="41">
        <v>0.0036289991697056</v>
      </c>
      <c r="L82" s="41">
        <v>0.0058683444168939</v>
      </c>
      <c r="M82" s="41">
        <v>8.537524217805E-4</v>
      </c>
      <c r="O82" s="41">
        <v>8394.0</v>
      </c>
      <c r="P82" s="41">
        <v>295.040010168999</v>
      </c>
      <c r="Q82" s="41">
        <v>0.0034844263542571</v>
      </c>
      <c r="R82" s="41">
        <v>0.003479961913032</v>
      </c>
      <c r="S82" s="41">
        <v>0.0056788856542159</v>
      </c>
      <c r="T82" s="41">
        <v>8.187150175166E-4</v>
      </c>
    </row>
    <row r="83">
      <c r="A83" s="41">
        <v>7686.0</v>
      </c>
      <c r="B83" s="41">
        <v>330.669413101</v>
      </c>
      <c r="C83" s="41">
        <v>0.0039056222593536</v>
      </c>
      <c r="D83" s="41">
        <v>0.0038995955210013</v>
      </c>
      <c r="E83" s="41">
        <v>0.006366618704402</v>
      </c>
      <c r="F83" s="41">
        <v>9.174316787611E-4</v>
      </c>
      <c r="H83" s="41">
        <v>7934.0</v>
      </c>
      <c r="I83" s="41">
        <v>251.436220570998</v>
      </c>
      <c r="J83" s="41">
        <v>0.0039780272717139</v>
      </c>
      <c r="K83" s="41">
        <v>0.0029649424398833</v>
      </c>
      <c r="L83" s="41">
        <v>0.004787329940972</v>
      </c>
      <c r="M83" s="41">
        <v>6.975384060972E-4</v>
      </c>
      <c r="O83" s="41">
        <v>8362.0</v>
      </c>
      <c r="P83" s="41">
        <v>286.19364533</v>
      </c>
      <c r="Q83" s="41">
        <v>0.0033821291292074</v>
      </c>
      <c r="R83" s="41">
        <v>0.0033751700668644</v>
      </c>
      <c r="S83" s="41">
        <v>0.0055154321901199</v>
      </c>
      <c r="T83" s="41">
        <v>7.940349330638E-4</v>
      </c>
    </row>
    <row r="84">
      <c r="A84" s="41">
        <v>7022.0</v>
      </c>
      <c r="B84" s="41">
        <v>271.127752817999</v>
      </c>
      <c r="C84" s="41">
        <v>0.0032000893553301</v>
      </c>
      <c r="D84" s="41">
        <v>0.0031977898063838</v>
      </c>
      <c r="E84" s="41">
        <v>0.005213271670614</v>
      </c>
      <c r="F84" s="41">
        <v>7.523096416472E-4</v>
      </c>
      <c r="H84" s="41">
        <v>8509.0</v>
      </c>
      <c r="I84" s="41">
        <v>287.939795392001</v>
      </c>
      <c r="J84" s="41">
        <v>0.0045623730229237</v>
      </c>
      <c r="K84" s="41">
        <v>0.0033958699067375</v>
      </c>
      <c r="L84" s="41">
        <v>0.0054962455081039</v>
      </c>
      <c r="M84" s="41">
        <v>7.989163830861E-4</v>
      </c>
      <c r="O84" s="41">
        <v>8420.0</v>
      </c>
      <c r="P84" s="41">
        <v>293.376281532997</v>
      </c>
      <c r="Q84" s="41">
        <v>0.003466546684599</v>
      </c>
      <c r="R84" s="41">
        <v>0.0034599573603854</v>
      </c>
      <c r="S84" s="41">
        <v>0.005652414799706</v>
      </c>
      <c r="T84" s="41">
        <v>8.139924641277E-4</v>
      </c>
    </row>
    <row r="85">
      <c r="A85" s="41">
        <v>7454.0</v>
      </c>
      <c r="B85" s="41">
        <v>292.948325663001</v>
      </c>
      <c r="C85" s="41">
        <v>0.0034581062720837</v>
      </c>
      <c r="D85" s="41">
        <v>0.0034544179250242</v>
      </c>
      <c r="E85" s="41">
        <v>0.00563506284138</v>
      </c>
      <c r="F85" s="41">
        <v>8.127149601111E-4</v>
      </c>
      <c r="H85" s="41">
        <v>8857.0</v>
      </c>
      <c r="I85" s="41">
        <v>299.472987569002</v>
      </c>
      <c r="J85" s="41">
        <v>0.0047455792560371</v>
      </c>
      <c r="K85" s="41">
        <v>0.0035317630218702</v>
      </c>
      <c r="L85" s="41">
        <v>0.0057175342962459</v>
      </c>
      <c r="M85" s="41">
        <v>8.308866648166E-4</v>
      </c>
      <c r="O85" s="41">
        <v>10136.0</v>
      </c>
      <c r="P85" s="41">
        <v>418.140626305001</v>
      </c>
      <c r="Q85" s="41">
        <v>0.0049458896778155</v>
      </c>
      <c r="R85" s="41">
        <v>0.0049321905644075</v>
      </c>
      <c r="S85" s="41">
        <v>0.0080699072892539</v>
      </c>
      <c r="T85" s="41">
        <v>0.0011603262530944</v>
      </c>
    </row>
    <row r="86">
      <c r="A86" s="41">
        <v>6824.0</v>
      </c>
      <c r="B86" s="41">
        <v>227.476253578999</v>
      </c>
      <c r="C86" s="41">
        <v>0.0026819306854517</v>
      </c>
      <c r="D86" s="41">
        <v>0.0026827582527049</v>
      </c>
      <c r="E86" s="41">
        <v>0.0043657387703659</v>
      </c>
      <c r="F86" s="41">
        <v>6.311404671583E-4</v>
      </c>
      <c r="H86" s="41">
        <v>8648.0</v>
      </c>
      <c r="I86" s="41">
        <v>269.786369827001</v>
      </c>
      <c r="J86" s="41">
        <v>0.0042681649558198</v>
      </c>
      <c r="K86" s="41">
        <v>0.0031816024183901</v>
      </c>
      <c r="L86" s="41">
        <v>0.005135985219896</v>
      </c>
      <c r="M86" s="41">
        <v>7.485106613972E-4</v>
      </c>
      <c r="O86" s="41">
        <v>9362.0</v>
      </c>
      <c r="P86" s="41">
        <v>332.259828875998</v>
      </c>
      <c r="Q86" s="41">
        <v>0.003927451412164</v>
      </c>
      <c r="R86" s="41">
        <v>0.0039179355548436</v>
      </c>
      <c r="S86" s="41">
        <v>0.0064065029029759</v>
      </c>
      <c r="T86" s="41">
        <v>9.217146472999E-4</v>
      </c>
    </row>
    <row r="87">
      <c r="A87" s="41">
        <v>8516.0</v>
      </c>
      <c r="B87" s="41">
        <v>378.053881223</v>
      </c>
      <c r="C87" s="41">
        <v>0.0044666943336574</v>
      </c>
      <c r="D87" s="41">
        <v>0.0044588476325916</v>
      </c>
      <c r="E87" s="41">
        <v>0.0072824408259479</v>
      </c>
      <c r="F87" s="41">
        <v>0.0010489724711055</v>
      </c>
      <c r="H87" s="41">
        <v>9087.0</v>
      </c>
      <c r="I87" s="41">
        <v>305.762676834998</v>
      </c>
      <c r="J87" s="41">
        <v>0.0048446801297538</v>
      </c>
      <c r="K87" s="41">
        <v>0.0036065454318756</v>
      </c>
      <c r="L87" s="41">
        <v>0.00583569355744</v>
      </c>
      <c r="M87" s="41">
        <v>8.484472286527E-4</v>
      </c>
      <c r="O87" s="41">
        <v>9377.0</v>
      </c>
      <c r="P87" s="41">
        <v>337.306703622998</v>
      </c>
      <c r="Q87" s="41">
        <v>0.003986626296407</v>
      </c>
      <c r="R87" s="41">
        <v>0.0039783355373465</v>
      </c>
      <c r="S87" s="41">
        <v>0.006501314089936</v>
      </c>
      <c r="T87" s="41">
        <v>9.359491916944E-4</v>
      </c>
    </row>
    <row r="88">
      <c r="A88" s="41">
        <v>8092.0</v>
      </c>
      <c r="B88" s="41">
        <v>349.654490159002</v>
      </c>
      <c r="C88" s="41">
        <v>0.0041301842306213</v>
      </c>
      <c r="D88" s="41">
        <v>0.0041239229509883</v>
      </c>
      <c r="E88" s="41">
        <v>0.0067325698304959</v>
      </c>
      <c r="F88" s="41">
        <v>9.701803801639E-4</v>
      </c>
      <c r="H88" s="41">
        <v>8613.0</v>
      </c>
      <c r="I88" s="41">
        <v>285.616820495</v>
      </c>
      <c r="J88" s="41">
        <v>0.004519703186395</v>
      </c>
      <c r="K88" s="41">
        <v>0.0033682487734228</v>
      </c>
      <c r="L88" s="41">
        <v>0.0054397326851159</v>
      </c>
      <c r="M88" s="41">
        <v>7.924144486944E-4</v>
      </c>
      <c r="O88" s="41">
        <v>9451.0</v>
      </c>
      <c r="P88" s="41">
        <v>364.044056180002</v>
      </c>
      <c r="Q88" s="41">
        <v>0.0043031367652534</v>
      </c>
      <c r="R88" s="41">
        <v>0.0042938687155693</v>
      </c>
      <c r="S88" s="41">
        <v>0.0070178642253979</v>
      </c>
      <c r="T88" s="41">
        <v>0.0010101852231694</v>
      </c>
    </row>
    <row r="89">
      <c r="A89" s="41">
        <v>7349.0</v>
      </c>
      <c r="B89" s="41">
        <v>293.120680238</v>
      </c>
      <c r="C89" s="41">
        <v>0.003459838211551</v>
      </c>
      <c r="D89" s="41">
        <v>0.0034571668990097</v>
      </c>
      <c r="E89" s="41">
        <v>0.005636649231538</v>
      </c>
      <c r="F89" s="41">
        <v>8.133389587639E-4</v>
      </c>
      <c r="H89" s="41">
        <v>8659.0</v>
      </c>
      <c r="I89" s="41">
        <v>290.775481851</v>
      </c>
      <c r="J89" s="41">
        <v>0.0046044098775557</v>
      </c>
      <c r="K89" s="41">
        <v>0.0034287265097228</v>
      </c>
      <c r="L89" s="41">
        <v>0.005544938047058</v>
      </c>
      <c r="M89" s="41">
        <v>8.066586017777E-4</v>
      </c>
      <c r="O89" s="41">
        <v>9470.0</v>
      </c>
      <c r="P89" s="41">
        <v>366.952648146001</v>
      </c>
      <c r="Q89" s="41">
        <v>0.0043384710979616</v>
      </c>
      <c r="R89" s="41">
        <v>0.0043280345758805</v>
      </c>
      <c r="S89" s="41">
        <v>0.007076835939242</v>
      </c>
      <c r="T89" s="41">
        <v>0.0010182265749388</v>
      </c>
    </row>
    <row r="90">
      <c r="A90" s="41">
        <v>8203.0</v>
      </c>
      <c r="B90" s="41">
        <v>375.468596629998</v>
      </c>
      <c r="C90" s="41">
        <v>0.0044346662449686</v>
      </c>
      <c r="D90" s="41">
        <v>0.0044278767083519</v>
      </c>
      <c r="E90" s="41">
        <v>0.0072289724498399</v>
      </c>
      <c r="F90" s="41">
        <v>0.0010417001877166</v>
      </c>
      <c r="H90" s="41">
        <v>7836.0</v>
      </c>
      <c r="I90" s="41">
        <v>245.252363801002</v>
      </c>
      <c r="J90" s="41">
        <v>0.003877074621106</v>
      </c>
      <c r="K90" s="41">
        <v>0.0028923967752693</v>
      </c>
      <c r="L90" s="41">
        <v>0.0046625251189059</v>
      </c>
      <c r="M90" s="41">
        <v>6.804532597833E-4</v>
      </c>
      <c r="O90" s="41">
        <v>8221.0</v>
      </c>
      <c r="P90" s="41">
        <v>276.766434183999</v>
      </c>
      <c r="Q90" s="41">
        <v>0.003268140050936</v>
      </c>
      <c r="R90" s="41">
        <v>0.0032632493303742</v>
      </c>
      <c r="S90" s="41">
        <v>0.0053272767618179</v>
      </c>
      <c r="T90" s="41">
        <v>7.677063910833E-4</v>
      </c>
    </row>
    <row r="91">
      <c r="A91" s="41">
        <v>7400.0</v>
      </c>
      <c r="B91" s="41">
        <v>299.087641119</v>
      </c>
      <c r="C91" s="41">
        <v>0.0035318919289401</v>
      </c>
      <c r="D91" s="41">
        <v>0.0035275260027158</v>
      </c>
      <c r="E91" s="41">
        <v>0.0057560548826179</v>
      </c>
      <c r="F91" s="41">
        <v>8.298981154694E-4</v>
      </c>
      <c r="H91" s="41">
        <v>8014.0</v>
      </c>
      <c r="I91" s="41">
        <v>247.817953604</v>
      </c>
      <c r="J91" s="41">
        <v>0.0039214086152989</v>
      </c>
      <c r="K91" s="41">
        <v>0.0029226575058681</v>
      </c>
      <c r="L91" s="41">
        <v>0.004719292942098</v>
      </c>
      <c r="M91" s="41">
        <v>6.875954687278E-4</v>
      </c>
      <c r="O91" s="41">
        <v>8909.0</v>
      </c>
      <c r="P91" s="41">
        <v>319.366943363998</v>
      </c>
      <c r="Q91" s="41">
        <v>0.0037753346748086</v>
      </c>
      <c r="R91" s="41">
        <v>0.0037658852151831</v>
      </c>
      <c r="S91" s="41">
        <v>0.0061587421492119</v>
      </c>
      <c r="T91" s="41">
        <v>8.859434919277E-4</v>
      </c>
    </row>
    <row r="92">
      <c r="A92" s="41">
        <v>7700.0</v>
      </c>
      <c r="B92" s="41">
        <v>330.820963197002</v>
      </c>
      <c r="C92" s="41">
        <v>0.0039065276159192</v>
      </c>
      <c r="D92" s="41">
        <v>0.0039014417123951</v>
      </c>
      <c r="E92" s="41">
        <v>0.00636693009354</v>
      </c>
      <c r="F92" s="41">
        <v>9.178665627777E-4</v>
      </c>
      <c r="H92" s="41">
        <v>8288.0</v>
      </c>
      <c r="I92" s="41">
        <v>274.958071077002</v>
      </c>
      <c r="J92" s="41">
        <v>0.0043509439973161</v>
      </c>
      <c r="K92" s="41">
        <v>0.0032428246960994</v>
      </c>
      <c r="L92" s="41">
        <v>0.005236174744492</v>
      </c>
      <c r="M92" s="41">
        <v>7.629315495166E-4</v>
      </c>
      <c r="O92" s="41">
        <v>8617.0</v>
      </c>
      <c r="P92" s="41">
        <v>303.881075237997</v>
      </c>
      <c r="Q92" s="41">
        <v>0.0035921703723935</v>
      </c>
      <c r="R92" s="41">
        <v>0.0035842643542742</v>
      </c>
      <c r="S92" s="41">
        <v>0.005858574964634</v>
      </c>
      <c r="T92" s="41">
        <v>8.43245408325E-4</v>
      </c>
    </row>
    <row r="93">
      <c r="A93" s="41">
        <v>7439.0</v>
      </c>
      <c r="B93" s="41">
        <v>301.303617105997</v>
      </c>
      <c r="C93" s="41">
        <v>0.003557416567587</v>
      </c>
      <c r="D93" s="41">
        <v>0.0035533272283368</v>
      </c>
      <c r="E93" s="41">
        <v>0.0057972785267079</v>
      </c>
      <c r="F93" s="41">
        <v>8.359623725361E-4</v>
      </c>
      <c r="H93" s="41">
        <v>8136.0</v>
      </c>
      <c r="I93" s="41">
        <v>260.560187254999</v>
      </c>
      <c r="J93" s="41">
        <v>0.0041210583668927</v>
      </c>
      <c r="K93" s="41">
        <v>0.0030727828311791</v>
      </c>
      <c r="L93" s="41">
        <v>0.0049579531330259</v>
      </c>
      <c r="M93" s="41">
        <v>7.228901584305E-4</v>
      </c>
      <c r="O93" s="41">
        <v>9980.0</v>
      </c>
      <c r="P93" s="41">
        <v>406.851222025998</v>
      </c>
      <c r="Q93" s="41">
        <v>0.0048113529587291</v>
      </c>
      <c r="R93" s="41">
        <v>0.0047986139960548</v>
      </c>
      <c r="S93" s="41">
        <v>0.0078496168352439</v>
      </c>
      <c r="T93" s="41">
        <v>0.0011289509433888</v>
      </c>
    </row>
    <row r="94">
      <c r="A94" s="41">
        <v>7780.0</v>
      </c>
      <c r="B94" s="41">
        <v>312.267203904</v>
      </c>
      <c r="C94" s="41">
        <v>0.0036875086454874</v>
      </c>
      <c r="D94" s="41">
        <v>0.003683265068086</v>
      </c>
      <c r="E94" s="41">
        <v>0.0060092911963179</v>
      </c>
      <c r="F94" s="41">
        <v>8.665270829194E-4</v>
      </c>
      <c r="H94" s="41">
        <v>8974.0</v>
      </c>
      <c r="I94" s="41">
        <v>305.447566608003</v>
      </c>
      <c r="J94" s="41">
        <v>0.0048394132271063</v>
      </c>
      <c r="K94" s="41">
        <v>0.0036025437573567</v>
      </c>
      <c r="L94" s="41">
        <v>0.0058294146635279</v>
      </c>
      <c r="M94" s="41">
        <v>8.475402592E-4</v>
      </c>
      <c r="O94" s="41">
        <v>9586.0</v>
      </c>
      <c r="P94" s="41">
        <v>353.376082797</v>
      </c>
      <c r="Q94" s="41">
        <v>0.0041777056601361</v>
      </c>
      <c r="R94" s="41">
        <v>0.004168183790411</v>
      </c>
      <c r="S94" s="41">
        <v>0.0068139279511379</v>
      </c>
      <c r="T94" s="41">
        <v>9.806377749694E-4</v>
      </c>
    </row>
    <row r="95">
      <c r="A95" s="41">
        <v>7068.0</v>
      </c>
      <c r="B95" s="41">
        <v>254.937688740999</v>
      </c>
      <c r="C95" s="41">
        <v>0.0030090542436348</v>
      </c>
      <c r="D95" s="41">
        <v>0.0030064219330472</v>
      </c>
      <c r="E95" s="41">
        <v>0.004902673922136</v>
      </c>
      <c r="F95" s="41">
        <v>7.072512804472E-4</v>
      </c>
      <c r="H95" s="41">
        <v>9355.0</v>
      </c>
      <c r="I95" s="41">
        <v>338.394377141001</v>
      </c>
      <c r="J95" s="41">
        <v>0.0053449397111577</v>
      </c>
      <c r="K95" s="41">
        <v>0.003991624181036</v>
      </c>
      <c r="L95" s="41">
        <v>0.006422596249184</v>
      </c>
      <c r="M95" s="41">
        <v>9.390776097639E-4</v>
      </c>
      <c r="O95" s="41">
        <v>9614.0</v>
      </c>
      <c r="P95" s="41">
        <v>361.559111844002</v>
      </c>
      <c r="Q95" s="41">
        <v>0.0042721183472104</v>
      </c>
      <c r="R95" s="41">
        <v>0.0042641692078478</v>
      </c>
      <c r="S95" s="41">
        <v>0.0069657536281539</v>
      </c>
      <c r="T95" s="41">
        <v>0.0010031749095528</v>
      </c>
    </row>
    <row r="96">
      <c r="A96" s="41">
        <v>8757.0</v>
      </c>
      <c r="B96" s="41">
        <v>388.141530681998</v>
      </c>
      <c r="C96" s="41">
        <v>0.0045867098858916</v>
      </c>
      <c r="D96" s="41">
        <v>0.004577953389084</v>
      </c>
      <c r="E96" s="41">
        <v>0.0074789859831839</v>
      </c>
      <c r="F96" s="41">
        <v>0.0010769829127388</v>
      </c>
      <c r="H96" s="41">
        <v>8681.0</v>
      </c>
      <c r="I96" s="41">
        <v>277.894303686</v>
      </c>
      <c r="J96" s="41">
        <v>0.004398289349913</v>
      </c>
      <c r="K96" s="41">
        <v>0.0032773544241506</v>
      </c>
      <c r="L96" s="41">
        <v>0.0052941072908379</v>
      </c>
      <c r="M96" s="41">
        <v>7.710365271166E-4</v>
      </c>
      <c r="O96" s="41">
        <v>10842.0</v>
      </c>
      <c r="P96" s="41">
        <v>450.361668873996</v>
      </c>
      <c r="Q96" s="41">
        <v>0.0053269211194941</v>
      </c>
      <c r="R96" s="41">
        <v>0.0053112427845142</v>
      </c>
      <c r="S96" s="41">
        <v>0.0086927077874939</v>
      </c>
      <c r="T96" s="41">
        <v>0.0012495469768554</v>
      </c>
    </row>
    <row r="97">
      <c r="A97" s="41">
        <v>8278.0</v>
      </c>
      <c r="B97" s="41">
        <v>369.793319190001</v>
      </c>
      <c r="C97" s="41">
        <v>0.0043685701092745</v>
      </c>
      <c r="D97" s="41">
        <v>0.0043614149640007</v>
      </c>
      <c r="E97" s="41">
        <v>0.0071217848640899</v>
      </c>
      <c r="F97" s="41">
        <v>0.0010260849837305</v>
      </c>
      <c r="H97" s="41">
        <v>8219.0</v>
      </c>
      <c r="I97" s="41">
        <v>261.682269261</v>
      </c>
      <c r="J97" s="41">
        <v>0.0041428516539498</v>
      </c>
      <c r="K97" s="41">
        <v>0.0030860014968951</v>
      </c>
      <c r="L97" s="41">
        <v>0.0049879131569939</v>
      </c>
      <c r="M97" s="41">
        <v>7.260030448166E-4</v>
      </c>
      <c r="O97" s="41">
        <v>8886.0</v>
      </c>
      <c r="P97" s="41">
        <v>313.399731571</v>
      </c>
      <c r="Q97" s="41">
        <v>0.0037049981720728</v>
      </c>
      <c r="R97" s="41">
        <v>0.0036957144666014</v>
      </c>
      <c r="S97" s="41">
        <v>0.006044019001878</v>
      </c>
      <c r="T97" s="41">
        <v>8.694306750333E-4</v>
      </c>
    </row>
    <row r="98">
      <c r="A98" s="41">
        <v>6961.0</v>
      </c>
      <c r="B98" s="41">
        <v>251.881277740998</v>
      </c>
      <c r="C98" s="41">
        <v>0.0029723641960066</v>
      </c>
      <c r="D98" s="41">
        <v>0.0029709951170263</v>
      </c>
      <c r="E98" s="41">
        <v>0.004841315539716</v>
      </c>
      <c r="F98" s="41">
        <v>6.989754991944E-4</v>
      </c>
      <c r="H98" s="41">
        <v>9007.0</v>
      </c>
      <c r="I98" s="41">
        <v>315.615915768998</v>
      </c>
      <c r="J98" s="41">
        <v>0.0050012326387277</v>
      </c>
      <c r="K98" s="41">
        <v>0.0037218216579035</v>
      </c>
      <c r="L98" s="41">
        <v>0.0060258089873099</v>
      </c>
      <c r="M98" s="41">
        <v>8.755920257999E-4</v>
      </c>
      <c r="O98" s="41">
        <v>8835.0</v>
      </c>
      <c r="P98" s="41">
        <v>307.724019067001</v>
      </c>
      <c r="Q98" s="41">
        <v>0.0036360902877486</v>
      </c>
      <c r="R98" s="41">
        <v>0.0036290801040493</v>
      </c>
      <c r="S98" s="41">
        <v>0.005928967520948</v>
      </c>
      <c r="T98" s="41">
        <v>8.538006166916E-4</v>
      </c>
    </row>
    <row r="99">
      <c r="A99" s="41">
        <v>7257.0</v>
      </c>
      <c r="B99" s="41">
        <v>278.39503427</v>
      </c>
      <c r="C99" s="41">
        <v>0.0032865673127123</v>
      </c>
      <c r="D99" s="41">
        <v>0.0032836234445333</v>
      </c>
      <c r="E99" s="41">
        <v>0.0053548401172019</v>
      </c>
      <c r="F99" s="41">
        <v>7.725348976138E-4</v>
      </c>
      <c r="H99" s="41">
        <v>8785.0</v>
      </c>
      <c r="I99" s="41">
        <v>298.620978835002</v>
      </c>
      <c r="J99" s="41">
        <v>0.004732580964938</v>
      </c>
      <c r="K99" s="41">
        <v>0.0035211822745818</v>
      </c>
      <c r="L99" s="41">
        <v>0.0057030040068439</v>
      </c>
      <c r="M99" s="41">
        <v>8.28387759986E-4</v>
      </c>
      <c r="O99" s="41">
        <v>9248.0</v>
      </c>
      <c r="P99" s="41">
        <v>341.059870148998</v>
      </c>
      <c r="Q99" s="41">
        <v>0.0040309960594824</v>
      </c>
      <c r="R99" s="41">
        <v>0.004021846119205</v>
      </c>
      <c r="S99" s="41">
        <v>0.006574633593036</v>
      </c>
      <c r="T99" s="41">
        <v>9.46170748225E-4</v>
      </c>
    </row>
    <row r="100">
      <c r="A100" s="41">
        <v>4288.0</v>
      </c>
      <c r="B100" s="41">
        <v>222.013824264002</v>
      </c>
      <c r="C100" s="41">
        <v>0.00262505243135882</v>
      </c>
      <c r="D100" s="41">
        <v>0.00261862226959378</v>
      </c>
      <c r="E100" s="41">
        <v>0.004282122036806</v>
      </c>
      <c r="F100" s="41">
        <v>6.16023809583334E-4</v>
      </c>
      <c r="H100" s="41">
        <v>3366.0</v>
      </c>
      <c r="I100" s="41">
        <v>99.0744816509977</v>
      </c>
      <c r="J100" s="41">
        <v>0.00156666843962249</v>
      </c>
      <c r="K100" s="41">
        <v>0.00116850363335547</v>
      </c>
      <c r="L100" s="41">
        <v>0.00188437928527995</v>
      </c>
      <c r="M100" s="41">
        <v>2.74910225174971E-4</v>
      </c>
      <c r="O100" s="41">
        <v>3696.0</v>
      </c>
      <c r="P100" s="41">
        <v>123.264534535999</v>
      </c>
      <c r="Q100" s="41">
        <v>0.0014571151089717</v>
      </c>
      <c r="R100" s="41">
        <v>0.00145356229042019</v>
      </c>
      <c r="S100" s="41">
        <v>0.00237688773484212</v>
      </c>
      <c r="T100" s="41">
        <v>3.41960499416685E-4</v>
      </c>
    </row>
    <row r="101">
      <c r="A101" s="44">
        <f t="shared" ref="A101:F101" si="1">SUM(A2:A100)</f>
        <v>749202</v>
      </c>
      <c r="B101" s="44">
        <f t="shared" si="1"/>
        <v>30824.5533</v>
      </c>
      <c r="C101" s="44">
        <f t="shared" si="1"/>
        <v>0.3640134045</v>
      </c>
      <c r="D101" s="44">
        <f t="shared" si="1"/>
        <v>0.3635488012</v>
      </c>
      <c r="E101" s="44">
        <f t="shared" si="1"/>
        <v>0.5932654621</v>
      </c>
      <c r="F101" s="44">
        <f t="shared" si="1"/>
        <v>0.08552848022</v>
      </c>
      <c r="H101" s="44">
        <f t="shared" ref="H101:M101" si="2">SUM(H2:H100)</f>
        <v>827663</v>
      </c>
      <c r="I101" s="44">
        <f t="shared" si="2"/>
        <v>26891.10385</v>
      </c>
      <c r="J101" s="44">
        <f t="shared" si="2"/>
        <v>0.4257411552</v>
      </c>
      <c r="K101" s="44">
        <f t="shared" si="2"/>
        <v>0.3171519668</v>
      </c>
      <c r="L101" s="44">
        <f t="shared" si="2"/>
        <v>0.5125604425</v>
      </c>
      <c r="M101" s="44">
        <f t="shared" si="2"/>
        <v>0.07461326769</v>
      </c>
      <c r="O101" s="44">
        <f t="shared" ref="O101:T101" si="3">SUM(O2:O100)</f>
        <v>869559</v>
      </c>
      <c r="P101" s="44">
        <f t="shared" si="3"/>
        <v>31515.79708</v>
      </c>
      <c r="Q101" s="44">
        <f t="shared" si="3"/>
        <v>0.3719559942</v>
      </c>
      <c r="R101" s="44">
        <f t="shared" si="3"/>
        <v>0.3716936324</v>
      </c>
      <c r="S101" s="44">
        <f t="shared" si="3"/>
        <v>0.6059475773</v>
      </c>
      <c r="T101" s="44">
        <f t="shared" si="3"/>
        <v>0.08744492908</v>
      </c>
    </row>
  </sheetData>
  <mergeCells count="3">
    <mergeCell ref="A1:F1"/>
    <mergeCell ref="H1:M1"/>
    <mergeCell ref="O1:T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8" max="8" width="17.38"/>
    <col customWidth="1" min="15" max="15" width="15.38"/>
  </cols>
  <sheetData>
    <row r="1">
      <c r="A1" s="40" t="s">
        <v>9</v>
      </c>
      <c r="H1" s="40" t="s">
        <v>8</v>
      </c>
      <c r="O1" s="40" t="s">
        <v>10</v>
      </c>
    </row>
    <row r="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15</v>
      </c>
      <c r="T2" s="20" t="s">
        <v>16</v>
      </c>
    </row>
    <row r="3">
      <c r="A3" s="41">
        <v>23211.0</v>
      </c>
      <c r="B3" s="41">
        <v>1011.729004575</v>
      </c>
      <c r="C3" s="41">
        <v>0.0047414887524565</v>
      </c>
      <c r="D3" s="41">
        <v>0.0119345610225958</v>
      </c>
      <c r="E3" s="41">
        <v>0.019430753877924</v>
      </c>
      <c r="F3" s="41">
        <v>0.0028076204421583</v>
      </c>
      <c r="H3" s="41">
        <v>26757.0</v>
      </c>
      <c r="I3" s="41">
        <v>988.958384158</v>
      </c>
      <c r="J3" s="41">
        <v>0.0116700719314103</v>
      </c>
      <c r="K3" s="41">
        <v>0.0116653772925687</v>
      </c>
      <c r="L3" s="41">
        <v>0.019007160205716</v>
      </c>
      <c r="M3" s="41">
        <v>0.0027444044101277</v>
      </c>
      <c r="O3" s="41">
        <v>26075.0</v>
      </c>
      <c r="P3" s="41">
        <v>965.961610062</v>
      </c>
      <c r="Q3" s="41">
        <v>0.004531147670645</v>
      </c>
      <c r="R3" s="41">
        <v>0.0113945443525562</v>
      </c>
      <c r="S3" s="41">
        <v>0.018581703476462</v>
      </c>
      <c r="T3" s="41">
        <v>0.0026807138260861</v>
      </c>
    </row>
    <row r="4">
      <c r="A4" s="41">
        <v>23650.0</v>
      </c>
      <c r="B4" s="41">
        <v>1069.308799273</v>
      </c>
      <c r="C4" s="41">
        <v>0.0050181197176783</v>
      </c>
      <c r="D4" s="41">
        <v>0.0126124084514645</v>
      </c>
      <c r="E4" s="41">
        <v>0.020587142303034</v>
      </c>
      <c r="F4" s="41">
        <v>0.0029671238084638</v>
      </c>
      <c r="H4" s="41">
        <v>24533.0</v>
      </c>
      <c r="I4" s="41">
        <v>822.103091218</v>
      </c>
      <c r="J4" s="41">
        <v>0.0097136562258314</v>
      </c>
      <c r="K4" s="41">
        <v>0.0096966731880631</v>
      </c>
      <c r="L4" s="41">
        <v>0.0158369096139619</v>
      </c>
      <c r="M4" s="41">
        <v>0.0022812145466722</v>
      </c>
      <c r="O4" s="41">
        <v>26905.0</v>
      </c>
      <c r="P4" s="41">
        <v>1020.96521606</v>
      </c>
      <c r="Q4" s="41">
        <v>0.0047952371923934</v>
      </c>
      <c r="R4" s="41">
        <v>0.0120426051976492</v>
      </c>
      <c r="S4" s="41">
        <v>0.019684650192152</v>
      </c>
      <c r="T4" s="41">
        <v>0.0028330565889138</v>
      </c>
    </row>
    <row r="5">
      <c r="A5" s="41">
        <v>22114.0</v>
      </c>
      <c r="B5" s="41">
        <v>922.911578322</v>
      </c>
      <c r="C5" s="41">
        <v>0.0043298900358624</v>
      </c>
      <c r="D5" s="41">
        <v>0.0108849179273437</v>
      </c>
      <c r="E5" s="41">
        <v>0.01776071837523</v>
      </c>
      <c r="F5" s="41">
        <v>0.0025608180330555</v>
      </c>
      <c r="H5" s="41">
        <v>24908.0</v>
      </c>
      <c r="I5" s="41">
        <v>836.221610036</v>
      </c>
      <c r="J5" s="41">
        <v>0.009880525172532</v>
      </c>
      <c r="K5" s="41">
        <v>0.0098629615001819</v>
      </c>
      <c r="L5" s="41">
        <v>0.0161093642763699</v>
      </c>
      <c r="M5" s="41">
        <v>0.0023202963817083</v>
      </c>
      <c r="O5" s="41">
        <v>26004.0</v>
      </c>
      <c r="P5" s="41">
        <v>937.710305828</v>
      </c>
      <c r="Q5" s="41">
        <v>0.0044043850805875</v>
      </c>
      <c r="R5" s="41">
        <v>0.0110604430238541</v>
      </c>
      <c r="S5" s="41">
        <v>0.018080784186838</v>
      </c>
      <c r="T5" s="41">
        <v>0.0026021290305722</v>
      </c>
    </row>
    <row r="6">
      <c r="A6" s="41">
        <v>23776.0</v>
      </c>
      <c r="B6" s="41">
        <v>1006.580185894</v>
      </c>
      <c r="C6" s="41">
        <v>0.0047233681369962</v>
      </c>
      <c r="D6" s="41">
        <v>0.0118724842903201</v>
      </c>
      <c r="E6" s="41">
        <v>0.01937675855695</v>
      </c>
      <c r="F6" s="41">
        <v>0.0027930932990749</v>
      </c>
      <c r="H6" s="41">
        <v>27895.0</v>
      </c>
      <c r="I6" s="41">
        <v>1003.824956806</v>
      </c>
      <c r="J6" s="41">
        <v>0.0118605263725865</v>
      </c>
      <c r="K6" s="41">
        <v>0.0118393004814874</v>
      </c>
      <c r="L6" s="41">
        <v>0.0193377071368199</v>
      </c>
      <c r="M6" s="41">
        <v>0.0027852955384666</v>
      </c>
      <c r="O6" s="41">
        <v>29625.0</v>
      </c>
      <c r="P6" s="41">
        <v>1172.88911885</v>
      </c>
      <c r="Q6" s="41">
        <v>0.0055098074239662</v>
      </c>
      <c r="R6" s="41">
        <v>0.0138342270300347</v>
      </c>
      <c r="S6" s="41">
        <v>0.022621502263854</v>
      </c>
      <c r="T6" s="41">
        <v>0.0032546449534944</v>
      </c>
    </row>
    <row r="7">
      <c r="A7" s="41">
        <v>21230.0</v>
      </c>
      <c r="B7" s="41">
        <v>882.930836853999</v>
      </c>
      <c r="C7" s="41">
        <v>0.0041395852975231</v>
      </c>
      <c r="D7" s="41">
        <v>0.0104133198643007</v>
      </c>
      <c r="E7" s="41">
        <v>0.0169717166329179</v>
      </c>
      <c r="F7" s="41">
        <v>0.0024498504134527</v>
      </c>
      <c r="H7" s="41">
        <v>24949.0</v>
      </c>
      <c r="I7" s="41">
        <v>876.036937007</v>
      </c>
      <c r="J7" s="41">
        <v>0.0103515613391821</v>
      </c>
      <c r="K7" s="41">
        <v>0.0103318028086346</v>
      </c>
      <c r="L7" s="41">
        <v>0.0168789507253719</v>
      </c>
      <c r="M7" s="41">
        <v>0.0024306682126555</v>
      </c>
      <c r="O7" s="41">
        <v>25106.0</v>
      </c>
      <c r="P7" s="41">
        <v>911.57432608</v>
      </c>
      <c r="Q7" s="41">
        <v>0.004280622498357</v>
      </c>
      <c r="R7" s="41">
        <v>0.010751534751416</v>
      </c>
      <c r="S7" s="41">
        <v>0.01757049877861</v>
      </c>
      <c r="T7" s="41">
        <v>0.0025293390029111</v>
      </c>
    </row>
    <row r="8">
      <c r="A8" s="41">
        <v>18501.0</v>
      </c>
      <c r="B8" s="41">
        <v>620.629237696999</v>
      </c>
      <c r="C8" s="41">
        <v>0.0029089117493325</v>
      </c>
      <c r="D8" s="41">
        <v>0.0073198440187013</v>
      </c>
      <c r="E8" s="41">
        <v>0.0119232270385739</v>
      </c>
      <c r="F8" s="41">
        <v>0.0017220853139166</v>
      </c>
      <c r="H8" s="41">
        <v>25962.0</v>
      </c>
      <c r="I8" s="41">
        <v>938.160123464999</v>
      </c>
      <c r="J8" s="41">
        <v>0.011086924916438</v>
      </c>
      <c r="K8" s="41">
        <v>0.0110648741427395</v>
      </c>
      <c r="L8" s="41">
        <v>0.0180791447410819</v>
      </c>
      <c r="M8" s="41">
        <v>0.0026030969911333</v>
      </c>
      <c r="O8" s="41">
        <v>24394.0</v>
      </c>
      <c r="P8" s="41">
        <v>848.215256629</v>
      </c>
      <c r="Q8" s="41">
        <v>0.0039820628574194</v>
      </c>
      <c r="R8" s="41">
        <v>0.010003890872634</v>
      </c>
      <c r="S8" s="41">
        <v>0.0163421608514959</v>
      </c>
      <c r="T8" s="41">
        <v>0.0023535368779888</v>
      </c>
    </row>
    <row r="9">
      <c r="A9" s="41">
        <v>21740.0</v>
      </c>
      <c r="B9" s="41">
        <v>870.316269010999</v>
      </c>
      <c r="C9" s="41">
        <v>0.0040805269330441</v>
      </c>
      <c r="D9" s="41">
        <v>0.0102648261732063</v>
      </c>
      <c r="E9" s="41">
        <v>0.0167295236613859</v>
      </c>
      <c r="F9" s="41">
        <v>0.0024148906649722</v>
      </c>
      <c r="H9" s="41">
        <v>26685.0</v>
      </c>
      <c r="I9" s="41">
        <v>947.557288748999</v>
      </c>
      <c r="J9" s="41">
        <v>0.0111993367831542</v>
      </c>
      <c r="K9" s="41">
        <v>0.0111753940964896</v>
      </c>
      <c r="L9" s="41">
        <v>0.0182644526671059</v>
      </c>
      <c r="M9" s="41">
        <v>0.0026291575146139</v>
      </c>
      <c r="O9" s="41">
        <v>28232.0</v>
      </c>
      <c r="P9" s="41">
        <v>1126.22675880199</v>
      </c>
      <c r="Q9" s="41">
        <v>0.005289522619198</v>
      </c>
      <c r="R9" s="41">
        <v>0.0132825743090311</v>
      </c>
      <c r="S9" s="41">
        <v>0.021715288761106</v>
      </c>
      <c r="T9" s="41">
        <v>0.0031248709268249</v>
      </c>
    </row>
    <row r="10">
      <c r="A10" s="41">
        <v>20291.0</v>
      </c>
      <c r="B10" s="41">
        <v>748.147246572999</v>
      </c>
      <c r="C10" s="41">
        <v>0.0035073206208817</v>
      </c>
      <c r="D10" s="41">
        <v>0.0088245114318326</v>
      </c>
      <c r="E10" s="41">
        <v>0.014377427335266</v>
      </c>
      <c r="F10" s="41">
        <v>0.0020760798175361</v>
      </c>
      <c r="H10" s="41">
        <v>25617.0</v>
      </c>
      <c r="I10" s="41">
        <v>886.178989104999</v>
      </c>
      <c r="J10" s="41">
        <v>0.0104732285900027</v>
      </c>
      <c r="K10" s="41">
        <v>0.0104514386758082</v>
      </c>
      <c r="L10" s="41">
        <v>0.0170795511636299</v>
      </c>
      <c r="M10" s="41">
        <v>0.0024588228577444</v>
      </c>
      <c r="O10" s="41">
        <v>25279.0</v>
      </c>
      <c r="P10" s="41">
        <v>896.145912844001</v>
      </c>
      <c r="Q10" s="41">
        <v>0.0042082195227346</v>
      </c>
      <c r="R10" s="41">
        <v>0.0105702318945138</v>
      </c>
      <c r="S10" s="41">
        <v>0.0172725321513479</v>
      </c>
      <c r="T10" s="41">
        <v>0.0024867845761194</v>
      </c>
    </row>
    <row r="11">
      <c r="A11" s="41">
        <v>18967.0</v>
      </c>
      <c r="B11" s="41">
        <v>703.677055424999</v>
      </c>
      <c r="C11" s="41">
        <v>0.0032976075127725</v>
      </c>
      <c r="D11" s="41">
        <v>0.0082992969559049</v>
      </c>
      <c r="E11" s="41">
        <v>0.0135147902562679</v>
      </c>
      <c r="F11" s="41">
        <v>0.0019524836272333</v>
      </c>
      <c r="H11" s="41">
        <v>24084.0</v>
      </c>
      <c r="I11" s="41">
        <v>824.082170789</v>
      </c>
      <c r="J11" s="41">
        <v>0.0097384467750324</v>
      </c>
      <c r="K11" s="41">
        <v>0.0097202169166638</v>
      </c>
      <c r="L11" s="41">
        <v>0.01587877520301</v>
      </c>
      <c r="M11" s="41">
        <v>0.0022867923101138</v>
      </c>
      <c r="O11" s="41">
        <v>23675.0</v>
      </c>
      <c r="P11" s="41">
        <v>840.273842741</v>
      </c>
      <c r="Q11" s="41">
        <v>0.00394450211517</v>
      </c>
      <c r="R11" s="41">
        <v>0.0099098514765882</v>
      </c>
      <c r="S11" s="41">
        <v>0.016187643227882</v>
      </c>
      <c r="T11" s="41">
        <v>0.0023313855013361</v>
      </c>
    </row>
    <row r="12">
      <c r="A12" s="41">
        <v>20809.0</v>
      </c>
      <c r="B12" s="41">
        <v>851.902812796999</v>
      </c>
      <c r="C12" s="41">
        <v>0.0039930559840178</v>
      </c>
      <c r="D12" s="41">
        <v>0.010047501171782</v>
      </c>
      <c r="E12" s="41">
        <v>0.0163675336495719</v>
      </c>
      <c r="F12" s="41">
        <v>0.0023637836227139</v>
      </c>
      <c r="H12" s="41">
        <v>23626.0</v>
      </c>
      <c r="I12" s="41">
        <v>786.369246334001</v>
      </c>
      <c r="J12" s="41">
        <v>0.009293613003393</v>
      </c>
      <c r="K12" s="41">
        <v>0.0092750154517777</v>
      </c>
      <c r="L12" s="41">
        <v>0.0151549674017419</v>
      </c>
      <c r="M12" s="41">
        <v>0.0021820318520416</v>
      </c>
      <c r="O12" s="41">
        <v>24265.0</v>
      </c>
      <c r="P12" s="41">
        <v>876.199251289001</v>
      </c>
      <c r="Q12" s="41">
        <v>0.0041136772985255</v>
      </c>
      <c r="R12" s="41">
        <v>0.010334594280743</v>
      </c>
      <c r="S12" s="41">
        <v>0.016882238783558</v>
      </c>
      <c r="T12" s="41">
        <v>0.0024313292919472</v>
      </c>
    </row>
    <row r="13">
      <c r="A13" s="41">
        <v>21609.0</v>
      </c>
      <c r="B13" s="41">
        <v>888.843233891</v>
      </c>
      <c r="C13" s="41">
        <v>0.0041671364705069</v>
      </c>
      <c r="D13" s="41">
        <v>0.0104834395236208</v>
      </c>
      <c r="E13" s="41">
        <v>0.017083707000288</v>
      </c>
      <c r="F13" s="41">
        <v>0.0024663076516333</v>
      </c>
      <c r="H13" s="41">
        <v>27829.0</v>
      </c>
      <c r="I13" s="41">
        <v>1048.664786913</v>
      </c>
      <c r="J13" s="41">
        <v>0.0123950673988117</v>
      </c>
      <c r="K13" s="41">
        <v>0.0123680530558645</v>
      </c>
      <c r="L13" s="41">
        <v>0.020215155338778</v>
      </c>
      <c r="M13" s="41">
        <v>0.0029097388340805</v>
      </c>
      <c r="O13" s="41">
        <v>27819.0</v>
      </c>
      <c r="P13" s="41">
        <v>1117.259514519</v>
      </c>
      <c r="Q13" s="41">
        <v>0.0052470539168689</v>
      </c>
      <c r="R13" s="41">
        <v>0.01317761950875</v>
      </c>
      <c r="S13" s="41">
        <v>0.0215388666755239</v>
      </c>
      <c r="T13" s="41">
        <v>0.0031001666861583</v>
      </c>
    </row>
    <row r="14">
      <c r="A14" s="41">
        <v>21394.0</v>
      </c>
      <c r="B14" s="41">
        <v>916.031522601</v>
      </c>
      <c r="C14" s="41">
        <v>0.004293924095547</v>
      </c>
      <c r="D14" s="41">
        <v>0.0108040553472521</v>
      </c>
      <c r="E14" s="41">
        <v>0.017601395469994</v>
      </c>
      <c r="F14" s="41">
        <v>0.0025417892046721</v>
      </c>
      <c r="H14" s="41">
        <v>24291.0</v>
      </c>
      <c r="I14" s="41">
        <v>833.984437582001</v>
      </c>
      <c r="J14" s="41">
        <v>0.0098552939628067</v>
      </c>
      <c r="K14" s="41">
        <v>0.0098349518520902</v>
      </c>
      <c r="L14" s="41">
        <v>0.01607165452398</v>
      </c>
      <c r="M14" s="41">
        <v>0.0023137668813583</v>
      </c>
      <c r="O14" s="41">
        <v>25176.0</v>
      </c>
      <c r="P14" s="41">
        <v>947.570202737999</v>
      </c>
      <c r="Q14" s="41">
        <v>0.0044497016845963</v>
      </c>
      <c r="R14" s="41">
        <v>0.0111754690461958</v>
      </c>
      <c r="S14" s="41">
        <v>0.018265386001186</v>
      </c>
      <c r="T14" s="41">
        <v>0.0026291077640111</v>
      </c>
    </row>
    <row r="15">
      <c r="A15" s="41">
        <v>21353.0</v>
      </c>
      <c r="B15" s="41">
        <v>788.3076404</v>
      </c>
      <c r="C15" s="41">
        <v>0.0036947205966428</v>
      </c>
      <c r="D15" s="41">
        <v>0.0092973138248368</v>
      </c>
      <c r="E15" s="41">
        <v>0.0151441732264399</v>
      </c>
      <c r="F15" s="41">
        <v>0.0021871637059194</v>
      </c>
      <c r="H15" s="41">
        <v>26544.0</v>
      </c>
      <c r="I15" s="41">
        <v>882.889303879999</v>
      </c>
      <c r="J15" s="41">
        <v>0.0104336477405481</v>
      </c>
      <c r="K15" s="41">
        <v>0.0104121752667437</v>
      </c>
      <c r="L15" s="41">
        <v>0.0170147427784499</v>
      </c>
      <c r="M15" s="41">
        <v>0.0024495559378249</v>
      </c>
      <c r="O15" s="41">
        <v>28251.0</v>
      </c>
      <c r="P15" s="41">
        <v>1062.333295581</v>
      </c>
      <c r="Q15" s="41">
        <v>0.0049902282100296</v>
      </c>
      <c r="R15" s="41">
        <v>0.0125284587644952</v>
      </c>
      <c r="S15" s="41">
        <v>0.020489747502896</v>
      </c>
      <c r="T15" s="41">
        <v>0.0029474481651333</v>
      </c>
    </row>
    <row r="16">
      <c r="A16" s="41">
        <v>20723.0</v>
      </c>
      <c r="B16" s="41">
        <v>807.750255123999</v>
      </c>
      <c r="C16" s="41">
        <v>0.0037844000576284</v>
      </c>
      <c r="D16" s="41">
        <v>0.009527130094525</v>
      </c>
      <c r="E16" s="41">
        <v>0.015506505182972</v>
      </c>
      <c r="F16" s="41">
        <v>0.0022413547587361</v>
      </c>
      <c r="H16" s="41">
        <v>25537.0</v>
      </c>
      <c r="I16" s="41">
        <v>875.156744005</v>
      </c>
      <c r="J16" s="41">
        <v>0.0103383043406771</v>
      </c>
      <c r="K16" s="41">
        <v>0.0103204307756041</v>
      </c>
      <c r="L16" s="41">
        <v>0.0168550526506979</v>
      </c>
      <c r="M16" s="41">
        <v>0.0024279772562361</v>
      </c>
      <c r="O16" s="41">
        <v>25050.0</v>
      </c>
      <c r="P16" s="41">
        <v>875.300126661</v>
      </c>
      <c r="Q16" s="41">
        <v>0.0041103850516469</v>
      </c>
      <c r="R16" s="41">
        <v>0.0103230432326597</v>
      </c>
      <c r="S16" s="41">
        <v>0.0168727146092719</v>
      </c>
      <c r="T16" s="41">
        <v>0.0024286765787277</v>
      </c>
    </row>
    <row r="17">
      <c r="A17" s="41">
        <v>21203.0</v>
      </c>
      <c r="B17" s="41">
        <v>823.888983530998</v>
      </c>
      <c r="C17" s="41">
        <v>0.0038600874875141</v>
      </c>
      <c r="D17" s="41">
        <v>0.0097171946076707</v>
      </c>
      <c r="E17" s="41">
        <v>0.015817202375974</v>
      </c>
      <c r="F17" s="41">
        <v>0.0022860887360694</v>
      </c>
      <c r="H17" s="41">
        <v>25252.0</v>
      </c>
      <c r="I17" s="41">
        <v>822.260859371999</v>
      </c>
      <c r="J17" s="41">
        <v>0.0097176854660573</v>
      </c>
      <c r="K17" s="41">
        <v>0.0096980699211556</v>
      </c>
      <c r="L17" s="41">
        <v>0.015846706844022</v>
      </c>
      <c r="M17" s="41">
        <v>0.0022815582061972</v>
      </c>
      <c r="O17" s="41">
        <v>28787.0</v>
      </c>
      <c r="P17" s="41">
        <v>1137.873226021</v>
      </c>
      <c r="Q17" s="41">
        <v>0.0053451626864076</v>
      </c>
      <c r="R17" s="41">
        <v>0.0134199457682235</v>
      </c>
      <c r="S17" s="41">
        <v>0.0219466078350499</v>
      </c>
      <c r="T17" s="41">
        <v>0.0031571903967666</v>
      </c>
    </row>
    <row r="18">
      <c r="A18" s="41">
        <v>22933.0</v>
      </c>
      <c r="B18" s="41">
        <v>951.168970803999</v>
      </c>
      <c r="C18" s="41">
        <v>0.0044580447847866</v>
      </c>
      <c r="D18" s="41">
        <v>0.0112175806481285</v>
      </c>
      <c r="E18" s="41">
        <v>0.01827341322983</v>
      </c>
      <c r="F18" s="41">
        <v>0.0026390994616805</v>
      </c>
      <c r="H18" s="41">
        <v>28059.0</v>
      </c>
      <c r="I18" s="41">
        <v>1024.004019726</v>
      </c>
      <c r="J18" s="41">
        <v>0.0121023583508505</v>
      </c>
      <c r="K18" s="41">
        <v>0.0120761173505145</v>
      </c>
      <c r="L18" s="41">
        <v>0.019737654679</v>
      </c>
      <c r="M18" s="41">
        <v>0.0028410105924027</v>
      </c>
      <c r="O18" s="41">
        <v>27987.0</v>
      </c>
      <c r="P18" s="41">
        <v>1068.786338897</v>
      </c>
      <c r="Q18" s="41">
        <v>0.005020344181365</v>
      </c>
      <c r="R18" s="41">
        <v>0.0126048573785612</v>
      </c>
      <c r="S18" s="41">
        <v>0.0206124442677199</v>
      </c>
      <c r="T18" s="41">
        <v>0.0029654051077722</v>
      </c>
    </row>
    <row r="19">
      <c r="A19" s="41">
        <v>21056.0</v>
      </c>
      <c r="B19" s="41">
        <v>847.691751277001</v>
      </c>
      <c r="C19" s="41">
        <v>0.0039710210753647</v>
      </c>
      <c r="D19" s="41">
        <v>0.0099974626402744</v>
      </c>
      <c r="E19" s="41">
        <v>0.0162705227386299</v>
      </c>
      <c r="F19" s="41">
        <v>0.0023520227108638</v>
      </c>
      <c r="H19" s="41">
        <v>25004.0</v>
      </c>
      <c r="I19" s="41">
        <v>862.090488617001</v>
      </c>
      <c r="J19" s="41">
        <v>0.0101875537533476</v>
      </c>
      <c r="K19" s="41">
        <v>0.0101669997293769</v>
      </c>
      <c r="L19" s="41">
        <v>0.0166128980125299</v>
      </c>
      <c r="M19" s="41">
        <v>0.0023918926262527</v>
      </c>
      <c r="O19" s="41">
        <v>26453.0</v>
      </c>
      <c r="P19" s="41">
        <v>999.440931250002</v>
      </c>
      <c r="Q19" s="41">
        <v>0.0046938903753911</v>
      </c>
      <c r="R19" s="41">
        <v>0.0117871108635861</v>
      </c>
      <c r="S19" s="41">
        <v>0.019269725693546</v>
      </c>
      <c r="T19" s="41">
        <v>0.0027730469832971</v>
      </c>
    </row>
    <row r="20">
      <c r="A20" s="41">
        <v>22785.0</v>
      </c>
      <c r="B20" s="41">
        <v>1007.686767457</v>
      </c>
      <c r="C20" s="41">
        <v>0.0047217273698731</v>
      </c>
      <c r="D20" s="41">
        <v>0.0118845586106694</v>
      </c>
      <c r="E20" s="41">
        <v>0.0193500185355579</v>
      </c>
      <c r="F20" s="41">
        <v>0.0027959336364527</v>
      </c>
      <c r="H20" s="41">
        <v>25524.0</v>
      </c>
      <c r="I20" s="41">
        <v>891.262276939998</v>
      </c>
      <c r="J20" s="41">
        <v>0.0105326192780234</v>
      </c>
      <c r="K20" s="41">
        <v>0.0105110018179521</v>
      </c>
      <c r="L20" s="41">
        <v>0.017176088185304</v>
      </c>
      <c r="M20" s="41">
        <v>0.0024727863561861</v>
      </c>
      <c r="O20" s="41">
        <v>26450.0</v>
      </c>
      <c r="P20" s="41">
        <v>1004.62722090999</v>
      </c>
      <c r="Q20" s="41">
        <v>0.0047185997814561</v>
      </c>
      <c r="R20" s="41">
        <v>0.0118489473702785</v>
      </c>
      <c r="S20" s="41">
        <v>0.019371400497108</v>
      </c>
      <c r="T20" s="41">
        <v>0.0027876217088638</v>
      </c>
    </row>
    <row r="21">
      <c r="A21" s="41">
        <v>23615.0</v>
      </c>
      <c r="B21" s="41">
        <v>1019.43750182299</v>
      </c>
      <c r="C21" s="41">
        <v>0.0047771873497923</v>
      </c>
      <c r="D21" s="41">
        <v>0.0120230057608933</v>
      </c>
      <c r="E21" s="41">
        <v>0.019578665940698</v>
      </c>
      <c r="F21" s="41">
        <v>0.0028285511560999</v>
      </c>
      <c r="H21" s="41">
        <v>26622.0</v>
      </c>
      <c r="I21" s="41">
        <v>910.787950671001</v>
      </c>
      <c r="J21" s="41">
        <v>0.0107618109162749</v>
      </c>
      <c r="K21" s="41">
        <v>0.010740901454011</v>
      </c>
      <c r="L21" s="41">
        <v>0.017548352094226</v>
      </c>
      <c r="M21" s="41">
        <v>0.0025269069974861</v>
      </c>
      <c r="O21" s="41">
        <v>28960.0</v>
      </c>
      <c r="P21" s="41">
        <v>1137.95463302599</v>
      </c>
      <c r="Q21" s="41">
        <v>0.0053467035557323</v>
      </c>
      <c r="R21" s="41">
        <v>0.0134216375552403</v>
      </c>
      <c r="S21" s="41">
        <v>0.0219556217311499</v>
      </c>
      <c r="T21" s="41">
        <v>0.0031575900922667</v>
      </c>
    </row>
    <row r="22">
      <c r="A22" s="41">
        <v>19857.0</v>
      </c>
      <c r="B22" s="41">
        <v>735.178005191999</v>
      </c>
      <c r="C22" s="41">
        <v>0.0034433415607401</v>
      </c>
      <c r="D22" s="41">
        <v>0.008670596194616</v>
      </c>
      <c r="E22" s="41">
        <v>0.014106461840716</v>
      </c>
      <c r="F22" s="41">
        <v>0.0020398496198777</v>
      </c>
      <c r="H22" s="41">
        <v>25625.0</v>
      </c>
      <c r="I22" s="41">
        <v>897.260895518</v>
      </c>
      <c r="J22" s="41">
        <v>0.0106053717241898</v>
      </c>
      <c r="K22" s="41">
        <v>0.0105819427196828</v>
      </c>
      <c r="L22" s="41">
        <v>0.0172967393929359</v>
      </c>
      <c r="M22" s="41">
        <v>0.0024895189496639</v>
      </c>
      <c r="O22" s="41">
        <v>25526.0</v>
      </c>
      <c r="P22" s="41">
        <v>927.902556523</v>
      </c>
      <c r="Q22" s="41">
        <v>0.004357432792317</v>
      </c>
      <c r="R22" s="41">
        <v>0.010943463115154</v>
      </c>
      <c r="S22" s="41">
        <v>0.0178869331984239</v>
      </c>
      <c r="T22" s="41">
        <v>0.0025745646271749</v>
      </c>
    </row>
    <row r="23">
      <c r="A23" s="41">
        <v>22937.0</v>
      </c>
      <c r="B23" s="41">
        <v>1025.288665321</v>
      </c>
      <c r="C23" s="41">
        <v>0.0048040051285285</v>
      </c>
      <c r="D23" s="41">
        <v>0.0120911002715322</v>
      </c>
      <c r="E23" s="41">
        <v>0.019687875750288</v>
      </c>
      <c r="F23" s="41">
        <v>0.0028445283697166</v>
      </c>
      <c r="H23" s="41">
        <v>25409.0</v>
      </c>
      <c r="I23" s="41">
        <v>892.840610274</v>
      </c>
      <c r="J23" s="41">
        <v>0.0105494974608252</v>
      </c>
      <c r="K23" s="41">
        <v>0.0105292682527148</v>
      </c>
      <c r="L23" s="41">
        <v>0.017201843205908</v>
      </c>
      <c r="M23" s="41">
        <v>0.002477095130275</v>
      </c>
      <c r="O23" s="41">
        <v>25981.0</v>
      </c>
      <c r="P23" s="41">
        <v>971.848487932002</v>
      </c>
      <c r="Q23" s="41">
        <v>0.0045639724654554</v>
      </c>
      <c r="R23" s="41">
        <v>0.0114620807465007</v>
      </c>
      <c r="S23" s="41">
        <v>0.018734867487882</v>
      </c>
      <c r="T23" s="41">
        <v>0.0026965888191361</v>
      </c>
    </row>
    <row r="24">
      <c r="A24" s="41">
        <v>18862.0</v>
      </c>
      <c r="B24" s="41">
        <v>672.641154466</v>
      </c>
      <c r="C24" s="41">
        <v>0.0031493160368235</v>
      </c>
      <c r="D24" s="41">
        <v>0.0079326810845347</v>
      </c>
      <c r="E24" s="41">
        <v>0.0128988897635479</v>
      </c>
      <c r="F24" s="41">
        <v>0.0018662312387139</v>
      </c>
      <c r="H24" s="41">
        <v>23495.0</v>
      </c>
      <c r="I24" s="41">
        <v>762.803107301999</v>
      </c>
      <c r="J24" s="41">
        <v>0.0090129689292163</v>
      </c>
      <c r="K24" s="41">
        <v>0.0089959001294972</v>
      </c>
      <c r="L24" s="41">
        <v>0.0146961342568979</v>
      </c>
      <c r="M24" s="41">
        <v>0.0021163634452666</v>
      </c>
      <c r="O24" s="41">
        <v>24208.0</v>
      </c>
      <c r="P24" s="41">
        <v>849.439130708</v>
      </c>
      <c r="Q24" s="41">
        <v>0.0039880887770317</v>
      </c>
      <c r="R24" s="41">
        <v>0.0100178230161666</v>
      </c>
      <c r="S24" s="41">
        <v>0.016368505594794</v>
      </c>
      <c r="T24" s="41">
        <v>0.0023566900976166</v>
      </c>
    </row>
    <row r="25">
      <c r="A25" s="41">
        <v>21752.0</v>
      </c>
      <c r="B25" s="41">
        <v>889.000396233001</v>
      </c>
      <c r="C25" s="41">
        <v>0.0041641487674988</v>
      </c>
      <c r="D25" s="41">
        <v>0.0104848960299292</v>
      </c>
      <c r="E25" s="41">
        <v>0.017060455037242</v>
      </c>
      <c r="F25" s="41">
        <v>0.00246657008635</v>
      </c>
      <c r="H25" s="41">
        <v>25004.0</v>
      </c>
      <c r="I25" s="41">
        <v>826.231658168002</v>
      </c>
      <c r="J25" s="41">
        <v>0.009764083586908</v>
      </c>
      <c r="K25" s="41">
        <v>0.0097432119093715</v>
      </c>
      <c r="L25" s="41">
        <v>0.0159238280168299</v>
      </c>
      <c r="M25" s="41">
        <v>0.0022921548354333</v>
      </c>
      <c r="O25" s="41">
        <v>27639.0</v>
      </c>
      <c r="P25" s="41">
        <v>1071.30306902799</v>
      </c>
      <c r="Q25" s="41">
        <v>0.0050326302497423</v>
      </c>
      <c r="R25" s="41">
        <v>0.0126360949580477</v>
      </c>
      <c r="S25" s="41">
        <v>0.020662395974348</v>
      </c>
      <c r="T25" s="41">
        <v>0.0029727641747583</v>
      </c>
    </row>
    <row r="26">
      <c r="A26" s="41">
        <v>20921.0</v>
      </c>
      <c r="B26" s="41">
        <v>801.048434356998</v>
      </c>
      <c r="C26" s="41">
        <v>0.0037496669953802</v>
      </c>
      <c r="D26" s="41">
        <v>0.0094464565057116</v>
      </c>
      <c r="E26" s="41">
        <v>0.015355788117954</v>
      </c>
      <c r="F26" s="41">
        <v>0.0022224167178416</v>
      </c>
      <c r="H26" s="41">
        <v>26240.0</v>
      </c>
      <c r="I26" s="41">
        <v>906.373406311999</v>
      </c>
      <c r="J26" s="41">
        <v>0.010709678740969</v>
      </c>
      <c r="K26" s="41">
        <v>0.0106889464297229</v>
      </c>
      <c r="L26" s="41">
        <v>0.017463319803978</v>
      </c>
      <c r="M26" s="41">
        <v>0.0025146152086888</v>
      </c>
      <c r="O26" s="41">
        <v>26215.0</v>
      </c>
      <c r="P26" s="41">
        <v>931.174124445999</v>
      </c>
      <c r="Q26" s="41">
        <v>0.0043725123021243</v>
      </c>
      <c r="R26" s="41">
        <v>0.0109814504082395</v>
      </c>
      <c r="S26" s="41">
        <v>0.017948664636698</v>
      </c>
      <c r="T26" s="41">
        <v>0.002583527185711</v>
      </c>
    </row>
    <row r="27">
      <c r="A27" s="41">
        <v>22386.0</v>
      </c>
      <c r="B27" s="41">
        <v>921.942208176999</v>
      </c>
      <c r="C27" s="41">
        <v>0.0043150757493186</v>
      </c>
      <c r="D27" s="41">
        <v>0.0108728770342361</v>
      </c>
      <c r="E27" s="41">
        <v>0.0176688524684039</v>
      </c>
      <c r="F27" s="41">
        <v>0.0025579550645388</v>
      </c>
      <c r="H27" s="41">
        <v>24551.0</v>
      </c>
      <c r="I27" s="41">
        <v>777.955061722997</v>
      </c>
      <c r="J27" s="41">
        <v>0.0091906508521266</v>
      </c>
      <c r="K27" s="41">
        <v>0.0091744201108721</v>
      </c>
      <c r="L27" s="41">
        <v>0.0149843730986</v>
      </c>
      <c r="M27" s="41">
        <v>0.002158392102761</v>
      </c>
      <c r="O27" s="41">
        <v>27185.0</v>
      </c>
      <c r="P27" s="41">
        <v>1007.17596780399</v>
      </c>
      <c r="Q27" s="41">
        <v>0.0047291320619135</v>
      </c>
      <c r="R27" s="41">
        <v>0.0118780321602194</v>
      </c>
      <c r="S27" s="41">
        <v>0.0194114105291159</v>
      </c>
      <c r="T27" s="41">
        <v>0.0027944353110139</v>
      </c>
    </row>
    <row r="28">
      <c r="A28" s="41">
        <v>19776.0</v>
      </c>
      <c r="B28" s="41">
        <v>773.592002915</v>
      </c>
      <c r="C28" s="41">
        <v>0.0036296058845947</v>
      </c>
      <c r="D28" s="41">
        <v>0.0091230398823672</v>
      </c>
      <c r="E28" s="41">
        <v>0.0148900688564899</v>
      </c>
      <c r="F28" s="41">
        <v>0.0021462461999055</v>
      </c>
      <c r="H28" s="41">
        <v>25160.0</v>
      </c>
      <c r="I28" s="41">
        <v>907.969613027002</v>
      </c>
      <c r="J28" s="41">
        <v>0.0107280426523586</v>
      </c>
      <c r="K28" s="41">
        <v>0.010707915356005</v>
      </c>
      <c r="L28" s="41">
        <v>0.0174924631606259</v>
      </c>
      <c r="M28" s="41">
        <v>0.0025190874996778</v>
      </c>
      <c r="O28" s="41">
        <v>25405.0</v>
      </c>
      <c r="P28" s="41">
        <v>977.127845572998</v>
      </c>
      <c r="Q28" s="41">
        <v>0.0045857777691098</v>
      </c>
      <c r="R28" s="41">
        <v>0.011523854091393</v>
      </c>
      <c r="S28" s="41">
        <v>0.0188157600525959</v>
      </c>
      <c r="T28" s="41">
        <v>0.0027110784509249</v>
      </c>
    </row>
    <row r="29">
      <c r="A29" s="41">
        <v>19060.0</v>
      </c>
      <c r="B29" s="41">
        <v>719.851959684998</v>
      </c>
      <c r="C29" s="41">
        <v>0.0033775668395365</v>
      </c>
      <c r="D29" s="41">
        <v>0.0084887782377374</v>
      </c>
      <c r="E29" s="41">
        <v>0.0138571096967899</v>
      </c>
      <c r="F29" s="41">
        <v>0.001996967073461</v>
      </c>
      <c r="H29" s="41">
        <v>24412.0</v>
      </c>
      <c r="I29" s="41">
        <v>867.371790186</v>
      </c>
      <c r="J29" s="41">
        <v>0.010250763945195</v>
      </c>
      <c r="K29" s="41">
        <v>0.0102297122272395</v>
      </c>
      <c r="L29" s="41">
        <v>0.01671643976203</v>
      </c>
      <c r="M29" s="41">
        <v>0.0024066390892027</v>
      </c>
      <c r="O29" s="41">
        <v>24387.0</v>
      </c>
      <c r="P29" s="41">
        <v>906.217217286001</v>
      </c>
      <c r="Q29" s="41">
        <v>0.0042534284386835</v>
      </c>
      <c r="R29" s="41">
        <v>0.0106875705767273</v>
      </c>
      <c r="S29" s="41">
        <v>0.017453428129398</v>
      </c>
      <c r="T29" s="41">
        <v>0.0025143803548361</v>
      </c>
    </row>
    <row r="30">
      <c r="A30" s="41">
        <v>20476.0</v>
      </c>
      <c r="B30" s="41">
        <v>808.211349623998</v>
      </c>
      <c r="C30" s="41">
        <v>0.0037931855423433</v>
      </c>
      <c r="D30" s="41">
        <v>0.0095312146491556</v>
      </c>
      <c r="E30" s="41">
        <v>0.015564886618566</v>
      </c>
      <c r="F30" s="41">
        <v>0.0022422076577444</v>
      </c>
      <c r="H30" s="41">
        <v>23521.0</v>
      </c>
      <c r="I30" s="41">
        <v>776.703379524999</v>
      </c>
      <c r="J30" s="41">
        <v>0.0091754189053283</v>
      </c>
      <c r="K30" s="41">
        <v>0.0091599952111239</v>
      </c>
      <c r="L30" s="41">
        <v>0.0149586108557679</v>
      </c>
      <c r="M30" s="41">
        <v>0.0021549629690832</v>
      </c>
      <c r="O30" s="41">
        <v>24606.0</v>
      </c>
      <c r="P30" s="41">
        <v>896.580712708</v>
      </c>
      <c r="Q30" s="41">
        <v>0.0042094561299917</v>
      </c>
      <c r="R30" s="41">
        <v>0.010574165959525</v>
      </c>
      <c r="S30" s="41">
        <v>0.01727673326582</v>
      </c>
      <c r="T30" s="41">
        <v>0.0024875618926999</v>
      </c>
    </row>
    <row r="31">
      <c r="A31" s="41">
        <v>21310.0</v>
      </c>
      <c r="B31" s="41">
        <v>855.595613920999</v>
      </c>
      <c r="C31" s="41">
        <v>0.0040164338414172</v>
      </c>
      <c r="D31" s="41">
        <v>0.0100899772923184</v>
      </c>
      <c r="E31" s="41">
        <v>0.016483551797942</v>
      </c>
      <c r="F31" s="41">
        <v>0.0023737786302916</v>
      </c>
      <c r="H31" s="41">
        <v>25290.0</v>
      </c>
      <c r="I31" s="41">
        <v>873.641859871</v>
      </c>
      <c r="J31" s="41">
        <v>0.010323362642305</v>
      </c>
      <c r="K31" s="41">
        <v>0.0103026246571609</v>
      </c>
      <c r="L31" s="41">
        <v>0.01683426068962</v>
      </c>
      <c r="M31" s="41">
        <v>0.0024237901781805</v>
      </c>
      <c r="O31" s="41">
        <v>25488.0</v>
      </c>
      <c r="P31" s="41">
        <v>923.979278898998</v>
      </c>
      <c r="Q31" s="41">
        <v>0.0043388273291009</v>
      </c>
      <c r="R31" s="41">
        <v>0.0108967577103568</v>
      </c>
      <c r="S31" s="41">
        <v>0.01781054619287</v>
      </c>
      <c r="T31" s="41">
        <v>0.002563563438511</v>
      </c>
    </row>
    <row r="32">
      <c r="A32" s="41">
        <v>22974.0</v>
      </c>
      <c r="B32" s="41">
        <v>1008.24048108699</v>
      </c>
      <c r="C32" s="41">
        <v>0.0047331229539702</v>
      </c>
      <c r="D32" s="41">
        <v>0.0118903062889354</v>
      </c>
      <c r="E32" s="41">
        <v>0.019425073317824</v>
      </c>
      <c r="F32" s="41">
        <v>0.0027972616161416</v>
      </c>
      <c r="H32" s="41">
        <v>25525.0</v>
      </c>
      <c r="I32" s="41">
        <v>891.063503697998</v>
      </c>
      <c r="J32" s="41">
        <v>0.0105284180683574</v>
      </c>
      <c r="K32" s="41">
        <v>0.0105082611757375</v>
      </c>
      <c r="L32" s="41">
        <v>0.017167428178376</v>
      </c>
      <c r="M32" s="41">
        <v>0.0024721569527138</v>
      </c>
      <c r="O32" s="41">
        <v>26851.0</v>
      </c>
      <c r="P32" s="41">
        <v>1044.214603025</v>
      </c>
      <c r="Q32" s="41">
        <v>0.0049040185930206</v>
      </c>
      <c r="R32" s="41">
        <v>0.012315016225916</v>
      </c>
      <c r="S32" s="41">
        <v>0.0201320777723159</v>
      </c>
      <c r="T32" s="41">
        <v>0.0028972290715555</v>
      </c>
    </row>
    <row r="33">
      <c r="A33" s="41">
        <v>25121.0</v>
      </c>
      <c r="B33" s="41">
        <v>1155.79350811</v>
      </c>
      <c r="C33" s="41">
        <v>0.0054273806632384</v>
      </c>
      <c r="D33" s="41">
        <v>0.0136307454887272</v>
      </c>
      <c r="E33" s="41">
        <v>0.02227883310083</v>
      </c>
      <c r="F33" s="41">
        <v>0.0032067281587944</v>
      </c>
      <c r="H33" s="41">
        <v>28283.0</v>
      </c>
      <c r="I33" s="41">
        <v>1062.131786799</v>
      </c>
      <c r="J33" s="41">
        <v>0.0125519286846723</v>
      </c>
      <c r="K33" s="41">
        <v>0.0125262310491137</v>
      </c>
      <c r="L33" s="41">
        <v>0.0204690060974139</v>
      </c>
      <c r="M33" s="41">
        <v>0.0029468782199833</v>
      </c>
      <c r="O33" s="41">
        <v>28926.0</v>
      </c>
      <c r="P33" s="41">
        <v>1173.90116219699</v>
      </c>
      <c r="Q33" s="41">
        <v>0.0055145358774542</v>
      </c>
      <c r="R33" s="41">
        <v>0.0138439990522013</v>
      </c>
      <c r="S33" s="41">
        <v>0.0226434670036479</v>
      </c>
      <c r="T33" s="41">
        <v>0.0032569871789055</v>
      </c>
    </row>
    <row r="34">
      <c r="A34" s="41">
        <v>25457.0</v>
      </c>
      <c r="B34" s="41">
        <v>1143.582250428</v>
      </c>
      <c r="C34" s="41">
        <v>0.0053704701833823</v>
      </c>
      <c r="D34" s="41">
        <v>0.013487053451918</v>
      </c>
      <c r="E34" s="41">
        <v>0.022046150692462</v>
      </c>
      <c r="F34" s="41">
        <v>0.0031729364620749</v>
      </c>
      <c r="H34" s="41">
        <v>25521.0</v>
      </c>
      <c r="I34" s="41">
        <v>841.164893791999</v>
      </c>
      <c r="J34" s="41">
        <v>0.0099386132005534</v>
      </c>
      <c r="K34" s="41">
        <v>0.0099198740475174</v>
      </c>
      <c r="L34" s="41">
        <v>0.0162053940754159</v>
      </c>
      <c r="M34" s="41">
        <v>0.0023336875651778</v>
      </c>
      <c r="O34" s="41">
        <v>26638.0</v>
      </c>
      <c r="P34" s="41">
        <v>976.451013944002</v>
      </c>
      <c r="Q34" s="41">
        <v>0.0045846643701948</v>
      </c>
      <c r="R34" s="41">
        <v>0.0115158742270529</v>
      </c>
      <c r="S34" s="41">
        <v>0.0188175594984799</v>
      </c>
      <c r="T34" s="41">
        <v>0.0027092343624972</v>
      </c>
    </row>
    <row r="35">
      <c r="A35" s="41">
        <v>23928.0</v>
      </c>
      <c r="B35" s="41">
        <v>1048.45724083699</v>
      </c>
      <c r="C35" s="41">
        <v>0.0049225631514838</v>
      </c>
      <c r="D35" s="41">
        <v>0.0123651861254074</v>
      </c>
      <c r="E35" s="41">
        <v>0.020203719218518</v>
      </c>
      <c r="F35" s="41">
        <v>0.0029090723711444</v>
      </c>
      <c r="H35" s="41">
        <v>26385.0</v>
      </c>
      <c r="I35" s="41">
        <v>919.709139709997</v>
      </c>
      <c r="J35" s="41">
        <v>0.0108690031945187</v>
      </c>
      <c r="K35" s="41">
        <v>0.010847047164973</v>
      </c>
      <c r="L35" s="41">
        <v>0.0177241166792819</v>
      </c>
      <c r="M35" s="41">
        <v>0.0025519389513667</v>
      </c>
      <c r="O35" s="41">
        <v>27613.0</v>
      </c>
      <c r="P35" s="41">
        <v>1060.85119595</v>
      </c>
      <c r="Q35" s="41">
        <v>0.004982167496617</v>
      </c>
      <c r="R35" s="41">
        <v>0.0125113686875515</v>
      </c>
      <c r="S35" s="41">
        <v>0.020452754973302</v>
      </c>
      <c r="T35" s="41">
        <v>0.0029434354660305</v>
      </c>
    </row>
    <row r="36">
      <c r="A36" s="41">
        <v>21906.0</v>
      </c>
      <c r="B36" s="41">
        <v>925.763483175</v>
      </c>
      <c r="C36" s="41">
        <v>0.0043456261269606</v>
      </c>
      <c r="D36" s="41">
        <v>0.0109178077032083</v>
      </c>
      <c r="E36" s="41">
        <v>0.0178334984334539</v>
      </c>
      <c r="F36" s="41">
        <v>0.0025685616122889</v>
      </c>
      <c r="H36" s="41">
        <v>25688.0</v>
      </c>
      <c r="I36" s="41">
        <v>923.363985592001</v>
      </c>
      <c r="J36" s="41">
        <v>0.0109118852681033</v>
      </c>
      <c r="K36" s="41">
        <v>0.0108903534432278</v>
      </c>
      <c r="L36" s="41">
        <v>0.017793462568092</v>
      </c>
      <c r="M36" s="41">
        <v>0.0025620784663333</v>
      </c>
      <c r="O36" s="41">
        <v>26313.0</v>
      </c>
      <c r="P36" s="41">
        <v>1023.69139602899</v>
      </c>
      <c r="Q36" s="41">
        <v>0.0048073540688831</v>
      </c>
      <c r="R36" s="41">
        <v>0.0120739903597794</v>
      </c>
      <c r="S36" s="41">
        <v>0.0197331091198079</v>
      </c>
      <c r="T36" s="41">
        <v>0.0028405414496861</v>
      </c>
    </row>
    <row r="37">
      <c r="A37" s="41">
        <v>21925.0</v>
      </c>
      <c r="B37" s="41">
        <v>857.004356755001</v>
      </c>
      <c r="C37" s="41">
        <v>0.0040231875250129</v>
      </c>
      <c r="D37" s="41">
        <v>0.0101075468026133</v>
      </c>
      <c r="E37" s="41">
        <v>0.0165105082083959</v>
      </c>
      <c r="F37" s="41">
        <v>0.0023779279684944</v>
      </c>
      <c r="H37" s="41">
        <v>26131.0</v>
      </c>
      <c r="I37" s="41">
        <v>891.133629792999</v>
      </c>
      <c r="J37" s="41">
        <v>0.0105308891626278</v>
      </c>
      <c r="K37" s="41">
        <v>0.0105100678966138</v>
      </c>
      <c r="L37" s="41">
        <v>0.0171722281822159</v>
      </c>
      <c r="M37" s="41">
        <v>0.0024726261409972</v>
      </c>
      <c r="O37" s="41">
        <v>26858.0</v>
      </c>
      <c r="P37" s="41">
        <v>988.060469445998</v>
      </c>
      <c r="Q37" s="41">
        <v>0.0046385626629657</v>
      </c>
      <c r="R37" s="41">
        <v>0.0116532246139191</v>
      </c>
      <c r="S37" s="41">
        <v>0.019036318562376</v>
      </c>
      <c r="T37" s="41">
        <v>0.0027415815695694</v>
      </c>
    </row>
    <row r="38">
      <c r="A38" s="41">
        <v>20155.0</v>
      </c>
      <c r="B38" s="41">
        <v>777.834974767</v>
      </c>
      <c r="C38" s="41">
        <v>0.0036514862260262</v>
      </c>
      <c r="D38" s="41">
        <v>0.0091732523788415</v>
      </c>
      <c r="E38" s="41">
        <v>0.014985668099636</v>
      </c>
      <c r="F38" s="41">
        <v>0.002158130815175</v>
      </c>
      <c r="H38" s="41">
        <v>25625.0</v>
      </c>
      <c r="I38" s="41">
        <v>922.056172159002</v>
      </c>
      <c r="J38" s="41">
        <v>0.0108979797759557</v>
      </c>
      <c r="K38" s="41">
        <v>0.0108744153065304</v>
      </c>
      <c r="L38" s="41">
        <v>0.0177733683853499</v>
      </c>
      <c r="M38" s="41">
        <v>0.0025582927772778</v>
      </c>
      <c r="O38" s="41">
        <v>24546.0</v>
      </c>
      <c r="P38" s="41">
        <v>884.368840256</v>
      </c>
      <c r="Q38" s="41">
        <v>0.0041520611861331</v>
      </c>
      <c r="R38" s="41">
        <v>0.0104306681025241</v>
      </c>
      <c r="S38" s="41">
        <v>0.0170401550210019</v>
      </c>
      <c r="T38" s="41">
        <v>0.0024539802157334</v>
      </c>
    </row>
    <row r="39">
      <c r="A39" s="41">
        <v>20969.0</v>
      </c>
      <c r="B39" s="41">
        <v>823.462843801</v>
      </c>
      <c r="C39" s="41">
        <v>0.0038647908413492</v>
      </c>
      <c r="D39" s="41">
        <v>0.009711355586433</v>
      </c>
      <c r="E39" s="41">
        <v>0.0158583337977679</v>
      </c>
      <c r="F39" s="41">
        <v>0.0022846944242556</v>
      </c>
      <c r="H39" s="41">
        <v>25725.0</v>
      </c>
      <c r="I39" s="41">
        <v>915.231060014004</v>
      </c>
      <c r="J39" s="41">
        <v>0.010813492413597</v>
      </c>
      <c r="K39" s="41">
        <v>0.010792941549416</v>
      </c>
      <c r="L39" s="41">
        <v>0.017632149661264</v>
      </c>
      <c r="M39" s="41">
        <v>0.0025390579339055</v>
      </c>
      <c r="O39" s="41">
        <v>27115.0</v>
      </c>
      <c r="P39" s="41">
        <v>1043.362090209</v>
      </c>
      <c r="Q39" s="41">
        <v>0.0049008810239132</v>
      </c>
      <c r="R39" s="41">
        <v>0.0123054315252499</v>
      </c>
      <c r="S39" s="41">
        <v>0.0201212508192101</v>
      </c>
      <c r="T39" s="41">
        <v>0.0028950275859027</v>
      </c>
    </row>
    <row r="40">
      <c r="A40" s="41">
        <v>23260.0</v>
      </c>
      <c r="B40" s="41">
        <v>1025.70787360199</v>
      </c>
      <c r="C40" s="41">
        <v>0.0048158527796152</v>
      </c>
      <c r="D40" s="41">
        <v>0.0120961114622212</v>
      </c>
      <c r="E40" s="41">
        <v>0.0197670658136399</v>
      </c>
      <c r="F40" s="41">
        <v>0.0028457157005028</v>
      </c>
      <c r="H40" s="41">
        <v>26076.0</v>
      </c>
      <c r="I40" s="41">
        <v>937.252051336996</v>
      </c>
      <c r="J40" s="41">
        <v>0.0110760759802008</v>
      </c>
      <c r="K40" s="41">
        <v>0.0110536828323646</v>
      </c>
      <c r="L40" s="41">
        <v>0.0180618902828341</v>
      </c>
      <c r="M40" s="41">
        <v>0.002600477118161</v>
      </c>
      <c r="O40" s="41">
        <v>26519.0</v>
      </c>
      <c r="P40" s="41">
        <v>1019.605655059</v>
      </c>
      <c r="Q40" s="41">
        <v>0.0047886276816215</v>
      </c>
      <c r="R40" s="41">
        <v>0.012025195638985</v>
      </c>
      <c r="S40" s="41">
        <v>0.0196584296156199</v>
      </c>
      <c r="T40" s="41">
        <v>0.0028290505498943</v>
      </c>
    </row>
    <row r="41">
      <c r="A41" s="41">
        <v>22741.0</v>
      </c>
      <c r="B41" s="41">
        <v>913.584154558993</v>
      </c>
      <c r="C41" s="41">
        <v>0.0042900924128469</v>
      </c>
      <c r="D41" s="41">
        <v>0.0107745733671033</v>
      </c>
      <c r="E41" s="41">
        <v>0.017610210754824</v>
      </c>
      <c r="F41" s="41">
        <v>0.0025348401337195</v>
      </c>
      <c r="H41" s="41">
        <v>26773.0</v>
      </c>
      <c r="I41" s="41">
        <v>922.924073235997</v>
      </c>
      <c r="J41" s="41">
        <v>0.0109066946388199</v>
      </c>
      <c r="K41" s="41">
        <v>0.0108837988923206</v>
      </c>
      <c r="L41" s="41">
        <v>0.0177867047849079</v>
      </c>
      <c r="M41" s="41">
        <v>0.0025605275709388</v>
      </c>
      <c r="O41" s="41">
        <v>30200.0</v>
      </c>
      <c r="P41" s="41">
        <v>1249.535313138</v>
      </c>
      <c r="Q41" s="41">
        <v>0.0058698212876287</v>
      </c>
      <c r="R41" s="41">
        <v>0.0147370376825982</v>
      </c>
      <c r="S41" s="41">
        <v>0.0241009837252159</v>
      </c>
      <c r="T41" s="41">
        <v>0.0034670506502584</v>
      </c>
    </row>
    <row r="42">
      <c r="A42" s="41">
        <v>20126.0</v>
      </c>
      <c r="B42" s="41">
        <v>748.270247675995</v>
      </c>
      <c r="C42" s="41">
        <v>0.0035113811274087</v>
      </c>
      <c r="D42" s="41">
        <v>0.0088240404009332</v>
      </c>
      <c r="E42" s="41">
        <v>0.0144072929147139</v>
      </c>
      <c r="F42" s="41">
        <v>0.0020759502180889</v>
      </c>
      <c r="H42" s="41">
        <v>26684.0</v>
      </c>
      <c r="I42" s="41">
        <v>972.910329026999</v>
      </c>
      <c r="J42" s="41">
        <v>0.0114988395020081</v>
      </c>
      <c r="K42" s="41">
        <v>0.0114746227900691</v>
      </c>
      <c r="L42" s="41">
        <v>0.0187525158353339</v>
      </c>
      <c r="M42" s="41">
        <v>0.0026994837562916</v>
      </c>
      <c r="O42" s="41">
        <v>27664.0</v>
      </c>
      <c r="P42" s="41">
        <v>1097.20595259599</v>
      </c>
      <c r="Q42" s="41">
        <v>0.005153001133523</v>
      </c>
      <c r="R42" s="41">
        <v>0.0129402037882783</v>
      </c>
      <c r="S42" s="41">
        <v>0.021154273312294</v>
      </c>
      <c r="T42" s="41">
        <v>0.0030443170103277</v>
      </c>
    </row>
    <row r="43">
      <c r="A43" s="41">
        <v>20722.0</v>
      </c>
      <c r="B43" s="41">
        <v>761.374995072001</v>
      </c>
      <c r="C43" s="41">
        <v>0.0035727765297312</v>
      </c>
      <c r="D43" s="41">
        <v>0.0089792892692961</v>
      </c>
      <c r="E43" s="41">
        <v>0.014657996726388</v>
      </c>
      <c r="F43" s="41">
        <v>0.0021124874865554</v>
      </c>
      <c r="H43" s="41">
        <v>27140.0</v>
      </c>
      <c r="I43" s="41">
        <v>969.060102552997</v>
      </c>
      <c r="J43" s="41">
        <v>0.011451366287035</v>
      </c>
      <c r="K43" s="41">
        <v>0.0114277871199861</v>
      </c>
      <c r="L43" s="41">
        <v>0.01867446493956</v>
      </c>
      <c r="M43" s="41">
        <v>0.0026884320283416</v>
      </c>
      <c r="O43" s="41">
        <v>28250.0</v>
      </c>
      <c r="P43" s="41">
        <v>1097.344653544</v>
      </c>
      <c r="Q43" s="41">
        <v>0.0051537158814967</v>
      </c>
      <c r="R43" s="41">
        <v>0.0129415282660228</v>
      </c>
      <c r="S43" s="41">
        <v>0.0211578113706799</v>
      </c>
      <c r="T43" s="41">
        <v>0.0030446058174916</v>
      </c>
    </row>
    <row r="44">
      <c r="A44" s="41">
        <v>20594.0</v>
      </c>
      <c r="B44" s="41">
        <v>809.895428782998</v>
      </c>
      <c r="C44" s="41">
        <v>0.0038012644596226</v>
      </c>
      <c r="D44" s="41">
        <v>0.0095509226973409</v>
      </c>
      <c r="E44" s="41">
        <v>0.015598682478936</v>
      </c>
      <c r="F44" s="41">
        <v>0.002246930254036</v>
      </c>
      <c r="H44" s="41">
        <v>25390.0</v>
      </c>
      <c r="I44" s="41">
        <v>891.299125477002</v>
      </c>
      <c r="J44" s="41">
        <v>0.0105329016208716</v>
      </c>
      <c r="K44" s="41">
        <v>0.0105115511450437</v>
      </c>
      <c r="L44" s="41">
        <v>0.0171761912409419</v>
      </c>
      <c r="M44" s="41">
        <v>0.0024729424547249</v>
      </c>
      <c r="O44" s="41">
        <v>25366.0</v>
      </c>
      <c r="P44" s="41">
        <v>922.668185903996</v>
      </c>
      <c r="Q44" s="41">
        <v>0.0043325832347645</v>
      </c>
      <c r="R44" s="41">
        <v>0.010881692111339</v>
      </c>
      <c r="S44" s="41">
        <v>0.0177841647828761</v>
      </c>
      <c r="T44" s="41">
        <v>0.0025600079086221</v>
      </c>
    </row>
    <row r="45">
      <c r="A45" s="41">
        <v>22546.0</v>
      </c>
      <c r="B45" s="41">
        <v>922.293557088996</v>
      </c>
      <c r="C45" s="41">
        <v>0.0043305421355721</v>
      </c>
      <c r="D45" s="41">
        <v>0.0108760957943672</v>
      </c>
      <c r="E45" s="41">
        <v>0.017776394498882</v>
      </c>
      <c r="F45" s="41">
        <v>0.0025586638660805</v>
      </c>
      <c r="H45" s="41">
        <v>25487.0</v>
      </c>
      <c r="I45" s="41">
        <v>850.363181994995</v>
      </c>
      <c r="J45" s="41">
        <v>0.0100515114608646</v>
      </c>
      <c r="K45" s="41">
        <v>0.0100274139528813</v>
      </c>
      <c r="L45" s="41">
        <v>0.0163957614499318</v>
      </c>
      <c r="M45" s="41">
        <v>0.0023590614637306</v>
      </c>
      <c r="O45" s="41">
        <v>26431.0</v>
      </c>
      <c r="P45" s="41">
        <v>968.479918312994</v>
      </c>
      <c r="Q45" s="41">
        <v>0.0045471972192424</v>
      </c>
      <c r="R45" s="41">
        <v>0.0114229096106616</v>
      </c>
      <c r="S45" s="41">
        <v>0.0186623588187639</v>
      </c>
      <c r="T45" s="41">
        <v>0.0026873657950194</v>
      </c>
    </row>
    <row r="46">
      <c r="A46" s="41">
        <v>18923.0</v>
      </c>
      <c r="B46" s="41">
        <v>675.929558493997</v>
      </c>
      <c r="C46" s="41">
        <v>0.0031715793944185</v>
      </c>
      <c r="D46" s="41">
        <v>0.0079709874814326</v>
      </c>
      <c r="E46" s="41">
        <v>0.0130120348540639</v>
      </c>
      <c r="F46" s="41">
        <v>0.0018752365865527</v>
      </c>
      <c r="H46" s="41">
        <v>23594.0</v>
      </c>
      <c r="I46" s="41">
        <v>779.656294471002</v>
      </c>
      <c r="J46" s="41">
        <v>0.0092158842083662</v>
      </c>
      <c r="K46" s="41">
        <v>0.0091956811098248</v>
      </c>
      <c r="L46" s="41">
        <v>0.0150303998020878</v>
      </c>
      <c r="M46" s="41">
        <v>0.0021633594476389</v>
      </c>
      <c r="O46" s="41">
        <v>25337.0</v>
      </c>
      <c r="P46" s="41">
        <v>965.969783729997</v>
      </c>
      <c r="Q46" s="41">
        <v>0.0045350569954388</v>
      </c>
      <c r="R46" s="41">
        <v>0.0113916708268903</v>
      </c>
      <c r="S46" s="41">
        <v>0.0186134360018478</v>
      </c>
      <c r="T46" s="41">
        <v>0.0026800301760056</v>
      </c>
    </row>
    <row r="47">
      <c r="A47" s="41">
        <v>20916.0</v>
      </c>
      <c r="B47" s="41">
        <v>828.055586311995</v>
      </c>
      <c r="C47" s="41">
        <v>0.0038867310025971</v>
      </c>
      <c r="D47" s="41">
        <v>0.0097651996402378</v>
      </c>
      <c r="E47" s="41">
        <v>0.01594992803771</v>
      </c>
      <c r="F47" s="41">
        <v>0.0022973836197582</v>
      </c>
      <c r="H47" s="41">
        <v>25281.0</v>
      </c>
      <c r="I47" s="41">
        <v>870.555418903</v>
      </c>
      <c r="J47" s="41">
        <v>0.0102918930126479</v>
      </c>
      <c r="K47" s="41">
        <v>0.0102672025959223</v>
      </c>
      <c r="L47" s="41">
        <v>0.016787905374758</v>
      </c>
      <c r="M47" s="41">
        <v>0.0024154551031916</v>
      </c>
      <c r="O47" s="41">
        <v>25047.0</v>
      </c>
      <c r="P47" s="41">
        <v>904.092128878997</v>
      </c>
      <c r="Q47" s="41">
        <v>0.0042449180834902</v>
      </c>
      <c r="R47" s="41">
        <v>0.0106623913199056</v>
      </c>
      <c r="S47" s="41">
        <v>0.017423222827456</v>
      </c>
      <c r="T47" s="41">
        <v>0.0025084289423582</v>
      </c>
    </row>
    <row r="48">
      <c r="A48" s="41">
        <v>18711.0</v>
      </c>
      <c r="B48" s="41">
        <v>639.009640576005</v>
      </c>
      <c r="C48" s="41">
        <v>0.0029986509529339</v>
      </c>
      <c r="D48" s="41">
        <v>0.0075360193620937</v>
      </c>
      <c r="E48" s="41">
        <v>0.012302988731272</v>
      </c>
      <c r="F48" s="41">
        <v>0.0017729181348222</v>
      </c>
      <c r="H48" s="41">
        <v>23191.0</v>
      </c>
      <c r="I48" s="41">
        <v>740.234918631002</v>
      </c>
      <c r="J48" s="41">
        <v>0.00875103844244</v>
      </c>
      <c r="K48" s="41">
        <v>0.0087299154351148</v>
      </c>
      <c r="L48" s="41">
        <v>0.0142746558641598</v>
      </c>
      <c r="M48" s="41">
        <v>0.0020537955204027</v>
      </c>
      <c r="O48" s="41">
        <v>24157.0</v>
      </c>
      <c r="P48" s="41">
        <v>842.724499269999</v>
      </c>
      <c r="Q48" s="41">
        <v>0.0039553392643084</v>
      </c>
      <c r="R48" s="41">
        <v>0.0099380786050304</v>
      </c>
      <c r="S48" s="41">
        <v>0.016230880762472</v>
      </c>
      <c r="T48" s="41">
        <v>0.0023380265169498</v>
      </c>
    </row>
    <row r="49">
      <c r="A49" s="41">
        <v>23279.0</v>
      </c>
      <c r="B49" s="41">
        <v>920.116372648</v>
      </c>
      <c r="C49" s="41">
        <v>0.0043204753869198</v>
      </c>
      <c r="D49" s="41">
        <v>0.0108516011120462</v>
      </c>
      <c r="E49" s="41">
        <v>0.017734048631672</v>
      </c>
      <c r="F49" s="41">
        <v>0.0025529511799583</v>
      </c>
      <c r="H49" s="41">
        <v>26764.0</v>
      </c>
      <c r="I49" s="41">
        <v>874.942121941006</v>
      </c>
      <c r="J49" s="41">
        <v>0.0103433202640069</v>
      </c>
      <c r="K49" s="41">
        <v>0.0103183284816541</v>
      </c>
      <c r="L49" s="41">
        <v>0.0168719732197899</v>
      </c>
      <c r="M49" s="41">
        <v>0.0024275219447083</v>
      </c>
      <c r="O49" s="41">
        <v>29415.0</v>
      </c>
      <c r="P49" s="41">
        <v>1127.672763351</v>
      </c>
      <c r="Q49" s="41">
        <v>0.0052970711392151</v>
      </c>
      <c r="R49" s="41">
        <v>0.0132994144148233</v>
      </c>
      <c r="S49" s="41">
        <v>0.0217489726769419</v>
      </c>
      <c r="T49" s="41">
        <v>0.0031287507222139</v>
      </c>
    </row>
    <row r="50">
      <c r="A50" s="41">
        <v>19388.0</v>
      </c>
      <c r="B50" s="41">
        <v>728.170656736998</v>
      </c>
      <c r="C50" s="41">
        <v>0.0034172933150217</v>
      </c>
      <c r="D50" s="41">
        <v>0.008588211888176</v>
      </c>
      <c r="E50" s="41">
        <v>0.0140205278830799</v>
      </c>
      <c r="F50" s="41">
        <v>0.0020204325410693</v>
      </c>
      <c r="H50" s="41">
        <v>25958.0</v>
      </c>
      <c r="I50" s="41">
        <v>962.248556801001</v>
      </c>
      <c r="J50" s="41">
        <v>0.0113766202473927</v>
      </c>
      <c r="K50" s="41">
        <v>0.0113482486513832</v>
      </c>
      <c r="L50" s="41">
        <v>0.0185586009579799</v>
      </c>
      <c r="M50" s="41">
        <v>0.0026698011735638</v>
      </c>
      <c r="O50" s="41">
        <v>25159.0</v>
      </c>
      <c r="P50" s="41">
        <v>967.437727392003</v>
      </c>
      <c r="Q50" s="41">
        <v>0.004541424808518</v>
      </c>
      <c r="R50" s="41">
        <v>0.0114097223838604</v>
      </c>
      <c r="S50" s="41">
        <v>0.018637044909624</v>
      </c>
      <c r="T50" s="41">
        <v>0.0026842639179084</v>
      </c>
    </row>
    <row r="51">
      <c r="A51" s="41">
        <v>25934.0</v>
      </c>
      <c r="B51" s="41">
        <v>1190.56258306699</v>
      </c>
      <c r="C51" s="41">
        <v>0.0055918524724204</v>
      </c>
      <c r="D51" s="41">
        <v>0.0140411065240706</v>
      </c>
      <c r="E51" s="41">
        <v>0.0229572766991399</v>
      </c>
      <c r="F51" s="41">
        <v>0.0033033074402583</v>
      </c>
      <c r="H51" s="41">
        <v>25344.0</v>
      </c>
      <c r="I51" s="41">
        <v>823.512814713001</v>
      </c>
      <c r="J51" s="41">
        <v>0.0097360824501564</v>
      </c>
      <c r="K51" s="41">
        <v>0.009712184141016</v>
      </c>
      <c r="L51" s="41">
        <v>0.015881956872222</v>
      </c>
      <c r="M51" s="41">
        <v>0.0022848732348833</v>
      </c>
      <c r="O51" s="41">
        <v>27620.0</v>
      </c>
      <c r="P51" s="41">
        <v>1032.92434086099</v>
      </c>
      <c r="Q51" s="41">
        <v>0.004850956154769</v>
      </c>
      <c r="R51" s="41">
        <v>0.0121819393601082</v>
      </c>
      <c r="S51" s="41">
        <v>0.01991399509785</v>
      </c>
      <c r="T51" s="41">
        <v>0.0028659561383666</v>
      </c>
    </row>
    <row r="52">
      <c r="A52" s="41">
        <v>20898.0</v>
      </c>
      <c r="B52" s="41">
        <v>741.561708419001</v>
      </c>
      <c r="C52" s="41">
        <v>0.0034802112505615</v>
      </c>
      <c r="D52" s="41">
        <v>0.0087451805611261</v>
      </c>
      <c r="E52" s="41">
        <v>0.0142800655907099</v>
      </c>
      <c r="F52" s="41">
        <v>0.0020573893353165</v>
      </c>
      <c r="H52" s="41">
        <v>25704.0</v>
      </c>
      <c r="I52" s="41">
        <v>833.252727422994</v>
      </c>
      <c r="J52" s="41">
        <v>0.0098517714934861</v>
      </c>
      <c r="K52" s="41">
        <v>0.0098271274307918</v>
      </c>
      <c r="L52" s="41">
        <v>0.016071249523656</v>
      </c>
      <c r="M52" s="41">
        <v>0.0023119098053693</v>
      </c>
      <c r="O52" s="41">
        <v>28236.0</v>
      </c>
      <c r="P52" s="41">
        <v>1107.850911886</v>
      </c>
      <c r="Q52" s="41">
        <v>0.0052010976444436</v>
      </c>
      <c r="R52" s="41">
        <v>0.0130648247885769</v>
      </c>
      <c r="S52" s="41">
        <v>0.0213469951331379</v>
      </c>
      <c r="T52" s="41">
        <v>0.0030736161499084</v>
      </c>
    </row>
    <row r="53">
      <c r="A53" s="41">
        <v>22325.0</v>
      </c>
      <c r="B53" s="41">
        <v>890.165920008999</v>
      </c>
      <c r="C53" s="41">
        <v>0.0041793419721049</v>
      </c>
      <c r="D53" s="41">
        <v>0.0104983706538434</v>
      </c>
      <c r="E53" s="41">
        <v>0.017153193166988</v>
      </c>
      <c r="F53" s="41">
        <v>0.0024698580456</v>
      </c>
      <c r="H53" s="41">
        <v>25264.0</v>
      </c>
      <c r="I53" s="41">
        <v>815.997491693997</v>
      </c>
      <c r="J53" s="41">
        <v>0.0096465892096833</v>
      </c>
      <c r="K53" s="41">
        <v>0.0096231053415586</v>
      </c>
      <c r="L53" s="41">
        <v>0.015735725366348</v>
      </c>
      <c r="M53" s="41">
        <v>0.0022639220162361</v>
      </c>
      <c r="O53" s="41">
        <v>25662.0</v>
      </c>
      <c r="P53" s="41">
        <v>885.164945468001</v>
      </c>
      <c r="Q53" s="41">
        <v>0.0041562959809805</v>
      </c>
      <c r="R53" s="41">
        <v>0.0104400177503058</v>
      </c>
      <c r="S53" s="41">
        <v>0.0170591750362179</v>
      </c>
      <c r="T53" s="41">
        <v>0.0024561316354722</v>
      </c>
    </row>
    <row r="54">
      <c r="A54" s="41">
        <v>23639.0</v>
      </c>
      <c r="B54" s="41">
        <v>985.529336061001</v>
      </c>
      <c r="C54" s="41">
        <v>0.0046280845637401</v>
      </c>
      <c r="D54" s="41">
        <v>0.0116227920899852</v>
      </c>
      <c r="E54" s="41">
        <v>0.0189984315876219</v>
      </c>
      <c r="F54" s="41">
        <v>0.0027343831400193</v>
      </c>
      <c r="H54" s="41">
        <v>25325.0</v>
      </c>
      <c r="I54" s="41">
        <v>828.166133413004</v>
      </c>
      <c r="J54" s="41">
        <v>0.0097873112869973</v>
      </c>
      <c r="K54" s="41">
        <v>0.0097666757721612</v>
      </c>
      <c r="L54" s="41">
        <v>0.0159613261023839</v>
      </c>
      <c r="M54" s="41">
        <v>0.0022977047911388</v>
      </c>
      <c r="O54" s="41">
        <v>28046.0</v>
      </c>
      <c r="P54" s="41">
        <v>1071.22231652299</v>
      </c>
      <c r="Q54" s="41">
        <v>0.0050303645574448</v>
      </c>
      <c r="R54" s="41">
        <v>0.0126332539651522</v>
      </c>
      <c r="S54" s="41">
        <v>0.020649561241858</v>
      </c>
      <c r="T54" s="41">
        <v>0.0029721105655333</v>
      </c>
    </row>
    <row r="55">
      <c r="A55" s="41">
        <v>23309.0</v>
      </c>
      <c r="B55" s="41">
        <v>925.239546488002</v>
      </c>
      <c r="C55" s="41">
        <v>0.0043448754030699</v>
      </c>
      <c r="D55" s="41">
        <v>0.0109109608900249</v>
      </c>
      <c r="E55" s="41">
        <v>0.0178366887137839</v>
      </c>
      <c r="F55" s="41">
        <v>0.0025668075156304</v>
      </c>
      <c r="H55" s="41">
        <v>26984.0</v>
      </c>
      <c r="I55" s="41">
        <v>924.208892007998</v>
      </c>
      <c r="J55" s="41">
        <v>0.0109239803735263</v>
      </c>
      <c r="K55" s="41">
        <v>0.0109000080689312</v>
      </c>
      <c r="L55" s="41">
        <v>0.0178162670307798</v>
      </c>
      <c r="M55" s="41">
        <v>0.0025642533919972</v>
      </c>
      <c r="O55" s="41">
        <v>28667.0</v>
      </c>
      <c r="P55" s="41">
        <v>1091.813436581</v>
      </c>
      <c r="Q55" s="41">
        <v>0.0051282480271192</v>
      </c>
      <c r="R55" s="41">
        <v>0.0128765239186144</v>
      </c>
      <c r="S55" s="41">
        <v>0.0210545351769479</v>
      </c>
      <c r="T55" s="41">
        <v>0.0030293340217194</v>
      </c>
    </row>
    <row r="56">
      <c r="A56" s="41">
        <v>20618.0</v>
      </c>
      <c r="B56" s="41">
        <v>776.433712998994</v>
      </c>
      <c r="C56" s="41">
        <v>0.0036452461011022</v>
      </c>
      <c r="D56" s="41">
        <v>0.0091572787395927</v>
      </c>
      <c r="E56" s="41">
        <v>0.014960429190556</v>
      </c>
      <c r="F56" s="41">
        <v>0.0021543694330166</v>
      </c>
      <c r="H56" s="41">
        <v>25547.0</v>
      </c>
      <c r="I56" s="41">
        <v>896.653396005996</v>
      </c>
      <c r="J56" s="41">
        <v>0.0105959930365426</v>
      </c>
      <c r="K56" s="41">
        <v>0.0105755791089147</v>
      </c>
      <c r="L56" s="41">
        <v>0.0172777265999479</v>
      </c>
      <c r="M56" s="41">
        <v>0.0024880397297249</v>
      </c>
      <c r="O56" s="41">
        <v>25825.0</v>
      </c>
      <c r="P56" s="41">
        <v>957.147145074996</v>
      </c>
      <c r="Q56" s="41">
        <v>0.0044943594474104</v>
      </c>
      <c r="R56" s="41">
        <v>0.0112882802732744</v>
      </c>
      <c r="S56" s="41">
        <v>0.0184478917027461</v>
      </c>
      <c r="T56" s="41">
        <v>0.0026556489944583</v>
      </c>
    </row>
    <row r="57">
      <c r="A57" s="41">
        <v>25926.0</v>
      </c>
      <c r="B57" s="41">
        <v>1162.86563960799</v>
      </c>
      <c r="C57" s="41">
        <v>0.0054620426184466</v>
      </c>
      <c r="D57" s="41">
        <v>0.0137131521596348</v>
      </c>
      <c r="E57" s="41">
        <v>0.0224268457192399</v>
      </c>
      <c r="F57" s="41">
        <v>0.0032261250803806</v>
      </c>
      <c r="H57" s="41">
        <v>25303.0</v>
      </c>
      <c r="I57" s="41">
        <v>812.508749137996</v>
      </c>
      <c r="J57" s="41">
        <v>0.0096012166174792</v>
      </c>
      <c r="K57" s="41">
        <v>0.0095827571153545</v>
      </c>
      <c r="L57" s="41">
        <v>0.0156556555800699</v>
      </c>
      <c r="M57" s="41">
        <v>0.0022544168125778</v>
      </c>
      <c r="O57" s="41">
        <v>28330.0</v>
      </c>
      <c r="P57" s="41">
        <v>1082.60135900299</v>
      </c>
      <c r="Q57" s="41">
        <v>0.0050840411455475</v>
      </c>
      <c r="R57" s="41">
        <v>0.0127682624106143</v>
      </c>
      <c r="S57" s="41">
        <v>0.020869667529054</v>
      </c>
      <c r="T57" s="41">
        <v>0.0030038546171971</v>
      </c>
    </row>
    <row r="58">
      <c r="A58" s="41">
        <v>20645.0</v>
      </c>
      <c r="B58" s="41">
        <v>806.800022209005</v>
      </c>
      <c r="C58" s="41">
        <v>0.0037879462706632</v>
      </c>
      <c r="D58" s="41">
        <v>0.0095155801944134</v>
      </c>
      <c r="E58" s="41">
        <v>0.015546327992608</v>
      </c>
      <c r="F58" s="41">
        <v>0.0022386401738388</v>
      </c>
      <c r="H58" s="41">
        <v>25095.0</v>
      </c>
      <c r="I58" s="41">
        <v>890.403838413003</v>
      </c>
      <c r="J58" s="41">
        <v>0.0105185764557533</v>
      </c>
      <c r="K58" s="41">
        <v>0.0104997726339855</v>
      </c>
      <c r="L58" s="41">
        <v>0.01714968871974</v>
      </c>
      <c r="M58" s="41">
        <v>0.0024702037560527</v>
      </c>
      <c r="O58" s="41">
        <v>25163.0</v>
      </c>
      <c r="P58" s="41">
        <v>931.513203538001</v>
      </c>
      <c r="Q58" s="41">
        <v>0.0043740055075877</v>
      </c>
      <c r="R58" s="41">
        <v>0.0109860906356007</v>
      </c>
      <c r="S58" s="41">
        <v>0.01795371714074</v>
      </c>
      <c r="T58" s="41">
        <v>0.0025845963091638</v>
      </c>
    </row>
    <row r="59">
      <c r="A59" s="41">
        <v>21891.0</v>
      </c>
      <c r="B59" s="41">
        <v>938.905890126996</v>
      </c>
      <c r="C59" s="41">
        <v>0.0044088544441751</v>
      </c>
      <c r="D59" s="41">
        <v>0.0110722953776001</v>
      </c>
      <c r="E59" s="41">
        <v>0.0180983661453479</v>
      </c>
      <c r="F59" s="41">
        <v>0.0026049063887166</v>
      </c>
      <c r="H59" s="41">
        <v>23353.0</v>
      </c>
      <c r="I59" s="41">
        <v>784.647723607995</v>
      </c>
      <c r="J59" s="41">
        <v>0.0092698332522337</v>
      </c>
      <c r="K59" s="41">
        <v>0.0092531027079226</v>
      </c>
      <c r="L59" s="41">
        <v>0.0151140245912099</v>
      </c>
      <c r="M59" s="41">
        <v>0.002176794718761</v>
      </c>
      <c r="O59" s="41">
        <v>24863.0</v>
      </c>
      <c r="P59" s="41">
        <v>938.816360393997</v>
      </c>
      <c r="Q59" s="41">
        <v>0.0044089834829563</v>
      </c>
      <c r="R59" s="41">
        <v>0.0110728279756527</v>
      </c>
      <c r="S59" s="41">
        <v>0.0180986672567</v>
      </c>
      <c r="T59" s="41">
        <v>0.0026050026897277</v>
      </c>
    </row>
    <row r="60">
      <c r="A60" s="41">
        <v>21266.0</v>
      </c>
      <c r="B60" s="41">
        <v>800.978655544</v>
      </c>
      <c r="C60" s="41">
        <v>0.003761081097951</v>
      </c>
      <c r="D60" s="41">
        <v>0.0094471352657029</v>
      </c>
      <c r="E60" s="41">
        <v>0.0154372415164499</v>
      </c>
      <c r="F60" s="41">
        <v>0.0022225484662221</v>
      </c>
      <c r="H60" s="41">
        <v>26185.0</v>
      </c>
      <c r="I60" s="41">
        <v>908.951074372998</v>
      </c>
      <c r="J60" s="41">
        <v>0.0107406310811077</v>
      </c>
      <c r="K60" s="41">
        <v>0.0107196123148755</v>
      </c>
      <c r="L60" s="41">
        <v>0.0175139940111841</v>
      </c>
      <c r="M60" s="41">
        <v>0.0025219063225834</v>
      </c>
      <c r="O60" s="41">
        <v>27286.0</v>
      </c>
      <c r="P60" s="41">
        <v>1046.12514650899</v>
      </c>
      <c r="Q60" s="41">
        <v>0.0049127421443344</v>
      </c>
      <c r="R60" s="41">
        <v>0.0123376754082024</v>
      </c>
      <c r="S60" s="41">
        <v>0.0201669275224181</v>
      </c>
      <c r="T60" s="41">
        <v>0.0029025926609777</v>
      </c>
    </row>
    <row r="61">
      <c r="A61" s="41">
        <v>19551.0</v>
      </c>
      <c r="B61" s="41">
        <v>733.115718849003</v>
      </c>
      <c r="C61" s="41">
        <v>0.0034414880627492</v>
      </c>
      <c r="D61" s="41">
        <v>0.0086462908421208</v>
      </c>
      <c r="E61" s="41">
        <v>0.0141231104651459</v>
      </c>
      <c r="F61" s="41">
        <v>0.002034147786886</v>
      </c>
      <c r="H61" s="41">
        <v>25469.0</v>
      </c>
      <c r="I61" s="41">
        <v>938.913192234998</v>
      </c>
      <c r="J61" s="41">
        <v>0.0110945861163593</v>
      </c>
      <c r="K61" s="41">
        <v>0.0110732770866469</v>
      </c>
      <c r="L61" s="41">
        <v>0.0180907703059378</v>
      </c>
      <c r="M61" s="41">
        <v>0.0026050061254472</v>
      </c>
      <c r="O61" s="41">
        <v>25256.0</v>
      </c>
      <c r="P61" s="41">
        <v>967.501473743002</v>
      </c>
      <c r="Q61" s="41">
        <v>0.004542132468101</v>
      </c>
      <c r="R61" s="41">
        <v>0.0114101164887685</v>
      </c>
      <c r="S61" s="41">
        <v>0.0186416407466341</v>
      </c>
      <c r="T61" s="41">
        <v>0.0026843742317194</v>
      </c>
    </row>
    <row r="62">
      <c r="A62" s="41">
        <v>19754.0</v>
      </c>
      <c r="B62" s="41">
        <v>665.396193442</v>
      </c>
      <c r="C62" s="41">
        <v>0.003123504141358</v>
      </c>
      <c r="D62" s="41">
        <v>0.0078477841208735</v>
      </c>
      <c r="E62" s="41">
        <v>0.0128177180319438</v>
      </c>
      <c r="F62" s="41">
        <v>0.0018462680185056</v>
      </c>
      <c r="H62" s="41">
        <v>26967.0</v>
      </c>
      <c r="I62" s="41">
        <v>962.355934986</v>
      </c>
      <c r="J62" s="41">
        <v>0.0113726529885914</v>
      </c>
      <c r="K62" s="41">
        <v>0.0113494664224652</v>
      </c>
      <c r="L62" s="41">
        <v>0.018545791781066</v>
      </c>
      <c r="M62" s="41">
        <v>0.002670032438886</v>
      </c>
      <c r="O62" s="41">
        <v>25956.0</v>
      </c>
      <c r="P62" s="41">
        <v>929.589163894001</v>
      </c>
      <c r="Q62" s="41">
        <v>0.0043648408259374</v>
      </c>
      <c r="R62" s="41">
        <v>0.0109634264540039</v>
      </c>
      <c r="S62" s="41">
        <v>0.0179157640548219</v>
      </c>
      <c r="T62" s="41">
        <v>0.002579161733086</v>
      </c>
    </row>
    <row r="63">
      <c r="A63" s="41">
        <v>20508.0</v>
      </c>
      <c r="B63" s="41">
        <v>749.664591738001</v>
      </c>
      <c r="C63" s="41">
        <v>0.0035195096205672</v>
      </c>
      <c r="D63" s="41">
        <v>0.0088413822912734</v>
      </c>
      <c r="E63" s="41">
        <v>0.0144444596111139</v>
      </c>
      <c r="F63" s="41">
        <v>0.0020800254402832</v>
      </c>
      <c r="H63" s="41">
        <v>24508.0</v>
      </c>
      <c r="I63" s="41">
        <v>803.038608205999</v>
      </c>
      <c r="J63" s="41">
        <v>0.0094870619594123</v>
      </c>
      <c r="K63" s="41">
        <v>0.0094710882307117</v>
      </c>
      <c r="L63" s="41">
        <v>0.015466679317778</v>
      </c>
      <c r="M63" s="41">
        <v>0.0022281831193806</v>
      </c>
      <c r="O63" s="41">
        <v>27433.0</v>
      </c>
      <c r="P63" s="41">
        <v>1061.743800958</v>
      </c>
      <c r="Q63" s="41">
        <v>0.0049850848882917</v>
      </c>
      <c r="R63" s="41">
        <v>0.0125219475521957</v>
      </c>
      <c r="S63" s="41">
        <v>0.0204608074797441</v>
      </c>
      <c r="T63" s="41">
        <v>0.0029458303679721</v>
      </c>
    </row>
    <row r="64">
      <c r="A64" s="41">
        <v>23631.0</v>
      </c>
      <c r="B64" s="41">
        <v>1054.007382326</v>
      </c>
      <c r="C64" s="41">
        <v>0.0049497824160955</v>
      </c>
      <c r="D64" s="41">
        <v>0.0124299752455792</v>
      </c>
      <c r="E64" s="41">
        <v>0.0203199132003619</v>
      </c>
      <c r="F64" s="41">
        <v>0.0029242643985473</v>
      </c>
      <c r="H64" s="41">
        <v>25204.0</v>
      </c>
      <c r="I64" s="41">
        <v>895.344784170003</v>
      </c>
      <c r="J64" s="41">
        <v>0.0105799784603024</v>
      </c>
      <c r="K64" s="41">
        <v>0.010559811331768</v>
      </c>
      <c r="L64" s="41">
        <v>0.017251487690068</v>
      </c>
      <c r="M64" s="41">
        <v>0.0024841891018138</v>
      </c>
      <c r="O64" s="41">
        <v>26888.0</v>
      </c>
      <c r="P64" s="41">
        <v>1084.329247245</v>
      </c>
      <c r="Q64" s="41">
        <v>0.0050906491757202</v>
      </c>
      <c r="R64" s="41">
        <v>0.0127878953197916</v>
      </c>
      <c r="S64" s="41">
        <v>0.0208930400477522</v>
      </c>
      <c r="T64" s="41">
        <v>0.0030084746925389</v>
      </c>
    </row>
    <row r="65">
      <c r="A65" s="41">
        <v>21471.0</v>
      </c>
      <c r="B65" s="41">
        <v>809.929922489005</v>
      </c>
      <c r="C65" s="41">
        <v>0.0038029853243082</v>
      </c>
      <c r="D65" s="41">
        <v>0.0095522445582425</v>
      </c>
      <c r="E65" s="41">
        <v>0.0156093999875099</v>
      </c>
      <c r="F65" s="41">
        <v>0.0022472935286888</v>
      </c>
      <c r="H65" s="41">
        <v>25554.0</v>
      </c>
      <c r="I65" s="41">
        <v>849.579074965004</v>
      </c>
      <c r="J65" s="41">
        <v>0.010036978425122</v>
      </c>
      <c r="K65" s="41">
        <v>0.0100187214209042</v>
      </c>
      <c r="L65" s="41">
        <v>0.0163649114252519</v>
      </c>
      <c r="M65" s="41">
        <v>0.0023569890574278</v>
      </c>
      <c r="O65" s="41">
        <v>27515.0</v>
      </c>
      <c r="P65" s="41">
        <v>1058.38253074599</v>
      </c>
      <c r="Q65" s="41">
        <v>0.0049691726740744</v>
      </c>
      <c r="R65" s="41">
        <v>0.0124809655141773</v>
      </c>
      <c r="S65" s="41">
        <v>0.0203966890951161</v>
      </c>
      <c r="T65" s="41">
        <v>0.0029362480198695</v>
      </c>
    </row>
    <row r="66">
      <c r="A66" s="41">
        <v>21348.0</v>
      </c>
      <c r="B66" s="41">
        <v>858.328432411995</v>
      </c>
      <c r="C66" s="41">
        <v>0.004029919452389</v>
      </c>
      <c r="D66" s="41">
        <v>0.0101226711197257</v>
      </c>
      <c r="E66" s="41">
        <v>0.0165403610100558</v>
      </c>
      <c r="F66" s="41">
        <v>0.0023814693068916</v>
      </c>
      <c r="H66" s="41">
        <v>23614.0</v>
      </c>
      <c r="I66" s="41">
        <v>768.211421186999</v>
      </c>
      <c r="J66" s="41">
        <v>0.0090762594869958</v>
      </c>
      <c r="K66" s="41">
        <v>0.0090599302712106</v>
      </c>
      <c r="L66" s="41">
        <v>0.0147982465608098</v>
      </c>
      <c r="M66" s="41">
        <v>0.0021314518356722</v>
      </c>
      <c r="O66" s="41">
        <v>26323.0</v>
      </c>
      <c r="P66" s="41">
        <v>1018.368990955</v>
      </c>
      <c r="Q66" s="41">
        <v>0.004781350791759</v>
      </c>
      <c r="R66" s="41">
        <v>0.0120087793693666</v>
      </c>
      <c r="S66" s="41">
        <v>0.0196262801454558</v>
      </c>
      <c r="T66" s="41">
        <v>0.0028251701699556</v>
      </c>
    </row>
    <row r="67">
      <c r="A67" s="41">
        <v>22599.0</v>
      </c>
      <c r="B67" s="41">
        <v>972.554664591996</v>
      </c>
      <c r="C67" s="41">
        <v>0.004567151651315</v>
      </c>
      <c r="D67" s="41">
        <v>0.0114695375145957</v>
      </c>
      <c r="E67" s="41">
        <v>0.0187485874988579</v>
      </c>
      <c r="F67" s="41">
        <v>0.0026983251204277</v>
      </c>
      <c r="H67" s="41">
        <v>25312.0</v>
      </c>
      <c r="I67" s="41">
        <v>900.573379433</v>
      </c>
      <c r="J67" s="41">
        <v>0.0106382576875093</v>
      </c>
      <c r="K67" s="41">
        <v>0.0106206670607423</v>
      </c>
      <c r="L67" s="41">
        <v>0.0173431616522958</v>
      </c>
      <c r="M67" s="41">
        <v>0.0024985404342666</v>
      </c>
      <c r="O67" s="41">
        <v>28114.0</v>
      </c>
      <c r="P67" s="41">
        <v>1163.787064469</v>
      </c>
      <c r="Q67" s="41">
        <v>0.0054657140177036</v>
      </c>
      <c r="R67" s="41">
        <v>0.0137263773210274</v>
      </c>
      <c r="S67" s="41">
        <v>0.0224369212828559</v>
      </c>
      <c r="T67" s="41">
        <v>0.0032292849241888</v>
      </c>
    </row>
    <row r="68">
      <c r="A68" s="41">
        <v>22004.0</v>
      </c>
      <c r="B68" s="41">
        <v>900.977742803996</v>
      </c>
      <c r="C68" s="41">
        <v>0.0042310002072643</v>
      </c>
      <c r="D68" s="41">
        <v>0.0106255268481446</v>
      </c>
      <c r="E68" s="41">
        <v>0.017368418339168</v>
      </c>
      <c r="F68" s="41">
        <v>0.0024997887570721</v>
      </c>
      <c r="H68" s="41">
        <v>25011.0</v>
      </c>
      <c r="I68" s="41">
        <v>873.454015466006</v>
      </c>
      <c r="J68" s="41">
        <v>0.0103193546345665</v>
      </c>
      <c r="K68" s="41">
        <v>0.0103011651027291</v>
      </c>
      <c r="L68" s="41">
        <v>0.0168245876263259</v>
      </c>
      <c r="M68" s="41">
        <v>0.0024234459718944</v>
      </c>
      <c r="O68" s="41">
        <v>28776.0</v>
      </c>
      <c r="P68" s="41">
        <v>1211.67988543199</v>
      </c>
      <c r="Q68" s="41">
        <v>0.0056906396845933</v>
      </c>
      <c r="R68" s="41">
        <v>0.0142889217263546</v>
      </c>
      <c r="S68" s="41">
        <v>0.02336313119049</v>
      </c>
      <c r="T68" s="41">
        <v>0.0033616185590888</v>
      </c>
    </row>
    <row r="69">
      <c r="A69" s="41">
        <v>22551.0</v>
      </c>
      <c r="B69" s="41">
        <v>901.386647758998</v>
      </c>
      <c r="C69" s="41">
        <v>0.0042323561061834</v>
      </c>
      <c r="D69" s="41">
        <v>0.0106300895939816</v>
      </c>
      <c r="E69" s="41">
        <v>0.017372548064694</v>
      </c>
      <c r="F69" s="41">
        <v>0.0025008685425917</v>
      </c>
      <c r="H69" s="41">
        <v>25066.0</v>
      </c>
      <c r="I69" s="41">
        <v>833.594174835998</v>
      </c>
      <c r="J69" s="41">
        <v>0.0098488190363522</v>
      </c>
      <c r="K69" s="41">
        <v>0.0098309111688877</v>
      </c>
      <c r="L69" s="41">
        <v>0.0160581161798158</v>
      </c>
      <c r="M69" s="41">
        <v>0.0023128051283027</v>
      </c>
      <c r="O69" s="41">
        <v>27229.0</v>
      </c>
      <c r="P69" s="41">
        <v>1031.417745821</v>
      </c>
      <c r="Q69" s="41">
        <v>0.004842299693848</v>
      </c>
      <c r="R69" s="41">
        <v>0.0121643607709164</v>
      </c>
      <c r="S69" s="41">
        <v>0.0198733283986498</v>
      </c>
      <c r="T69" s="41">
        <v>0.002861812439925</v>
      </c>
    </row>
    <row r="70">
      <c r="A70" s="41">
        <v>23794.0</v>
      </c>
      <c r="B70" s="41">
        <v>1081.45696874499</v>
      </c>
      <c r="C70" s="41">
        <v>0.0050796098546128</v>
      </c>
      <c r="D70" s="41">
        <v>0.0127547678023387</v>
      </c>
      <c r="E70" s="41">
        <v>0.0208543858501619</v>
      </c>
      <c r="F70" s="41">
        <v>0.003000693631811</v>
      </c>
      <c r="H70" s="41">
        <v>24827.0</v>
      </c>
      <c r="I70" s="41">
        <v>843.192204039005</v>
      </c>
      <c r="J70" s="41">
        <v>0.0099636395829255</v>
      </c>
      <c r="K70" s="41">
        <v>0.0099439410145967</v>
      </c>
      <c r="L70" s="41">
        <v>0.0162473224422918</v>
      </c>
      <c r="M70" s="41">
        <v>0.0023393546143527</v>
      </c>
      <c r="O70" s="41">
        <v>26258.0</v>
      </c>
      <c r="P70" s="41">
        <v>1032.622977068</v>
      </c>
      <c r="Q70" s="41">
        <v>0.0048490255943018</v>
      </c>
      <c r="R70" s="41">
        <v>0.012178615396268</v>
      </c>
      <c r="S70" s="41">
        <v>0.01990421870114</v>
      </c>
      <c r="T70" s="41">
        <v>0.0028651425319194</v>
      </c>
    </row>
    <row r="71">
      <c r="A71" s="41">
        <v>21552.0</v>
      </c>
      <c r="B71" s="41">
        <v>826.534505204996</v>
      </c>
      <c r="C71" s="41">
        <v>0.0038801061448258</v>
      </c>
      <c r="D71" s="41">
        <v>0.0097483707443055</v>
      </c>
      <c r="E71" s="41">
        <v>0.0159229927383839</v>
      </c>
      <c r="F71" s="41">
        <v>0.0022934010316554</v>
      </c>
      <c r="H71" s="41">
        <v>26626.0</v>
      </c>
      <c r="I71" s="41">
        <v>893.662373699</v>
      </c>
      <c r="J71" s="41">
        <v>0.0105624446184902</v>
      </c>
      <c r="K71" s="41">
        <v>0.0105383484026479</v>
      </c>
      <c r="L71" s="41">
        <v>0.0172276923932539</v>
      </c>
      <c r="M71" s="41">
        <v>0.0024792396360806</v>
      </c>
      <c r="O71" s="41">
        <v>26934.0</v>
      </c>
      <c r="P71" s="41">
        <v>1010.539803633</v>
      </c>
      <c r="Q71" s="41">
        <v>0.0047447841160739</v>
      </c>
      <c r="R71" s="41">
        <v>0.0119178836561875</v>
      </c>
      <c r="S71" s="41">
        <v>0.0194749975244299</v>
      </c>
      <c r="T71" s="41">
        <v>0.0028038045606611</v>
      </c>
    </row>
    <row r="72">
      <c r="A72" s="41">
        <v>20765.0</v>
      </c>
      <c r="B72" s="41">
        <v>816.064910533001</v>
      </c>
      <c r="C72" s="41">
        <v>0.0038307500861918</v>
      </c>
      <c r="D72" s="41">
        <v>0.0096245691223436</v>
      </c>
      <c r="E72" s="41">
        <v>0.01572016813168</v>
      </c>
      <c r="F72" s="41">
        <v>0.0022643074667027</v>
      </c>
      <c r="H72" s="41">
        <v>27230.0</v>
      </c>
      <c r="I72" s="41">
        <v>994.347987280001</v>
      </c>
      <c r="J72" s="41">
        <v>0.011754136986599</v>
      </c>
      <c r="K72" s="41">
        <v>0.0117259172909551</v>
      </c>
      <c r="L72" s="41">
        <v>0.0191730772828939</v>
      </c>
      <c r="M72" s="41">
        <v>0.0027586653937388</v>
      </c>
      <c r="O72" s="41">
        <v>27183.0</v>
      </c>
      <c r="P72" s="41">
        <v>1097.29674872</v>
      </c>
      <c r="Q72" s="41">
        <v>0.0051529860917539</v>
      </c>
      <c r="R72" s="41">
        <v>0.0129403232460626</v>
      </c>
      <c r="S72" s="41">
        <v>0.021154103312158</v>
      </c>
      <c r="T72" s="41">
        <v>0.0030442591433945</v>
      </c>
    </row>
    <row r="73">
      <c r="A73" s="41">
        <v>22391.0</v>
      </c>
      <c r="B73" s="41">
        <v>908.373266173002</v>
      </c>
      <c r="C73" s="41">
        <v>0.0042655038186582</v>
      </c>
      <c r="D73" s="41">
        <v>0.0107121577951961</v>
      </c>
      <c r="E73" s="41">
        <v>0.0175100915080621</v>
      </c>
      <c r="F73" s="41">
        <v>0.0025201596339</v>
      </c>
      <c r="H73" s="41">
        <v>26422.0</v>
      </c>
      <c r="I73" s="41">
        <v>892.210170626996</v>
      </c>
      <c r="J73" s="41">
        <v>0.0105483966195454</v>
      </c>
      <c r="K73" s="41">
        <v>0.010523133150103</v>
      </c>
      <c r="L73" s="41">
        <v>0.0172062773761223</v>
      </c>
      <c r="M73" s="41">
        <v>0.0024756438328221</v>
      </c>
      <c r="O73" s="41">
        <v>25744.0</v>
      </c>
      <c r="P73" s="41">
        <v>929.311963660002</v>
      </c>
      <c r="Q73" s="41">
        <v>0.0043627441951618</v>
      </c>
      <c r="R73" s="41">
        <v>0.0109607903961918</v>
      </c>
      <c r="S73" s="41">
        <v>0.0179037962674697</v>
      </c>
      <c r="T73" s="41">
        <v>0.0025786547066083</v>
      </c>
    </row>
    <row r="74">
      <c r="A74" s="41">
        <v>20233.0</v>
      </c>
      <c r="B74" s="41">
        <v>728.453289789002</v>
      </c>
      <c r="C74" s="41">
        <v>0.003418927027576</v>
      </c>
      <c r="D74" s="41">
        <v>0.008590861607367</v>
      </c>
      <c r="E74" s="41">
        <v>0.0140289698342779</v>
      </c>
      <c r="F74" s="41">
        <v>0.0020211153905417</v>
      </c>
      <c r="H74" s="41">
        <v>25062.0</v>
      </c>
      <c r="I74" s="41">
        <v>812.222160085999</v>
      </c>
      <c r="J74" s="41">
        <v>0.0095998555271582</v>
      </c>
      <c r="K74" s="41">
        <v>0.0095793640571273</v>
      </c>
      <c r="L74" s="41">
        <v>0.0156559311358459</v>
      </c>
      <c r="M74" s="41">
        <v>0.0022536368689416</v>
      </c>
      <c r="O74" s="41">
        <v>25088.0</v>
      </c>
      <c r="P74" s="41">
        <v>889.735328322</v>
      </c>
      <c r="Q74" s="41">
        <v>0.0041770567956464</v>
      </c>
      <c r="R74" s="41">
        <v>0.0104934142822619</v>
      </c>
      <c r="S74" s="41">
        <v>0.0171428545476062</v>
      </c>
      <c r="T74" s="41">
        <v>0.0024686832753889</v>
      </c>
    </row>
    <row r="75">
      <c r="A75" s="41">
        <v>22614.0</v>
      </c>
      <c r="B75" s="41">
        <v>963.037733664001</v>
      </c>
      <c r="C75" s="41">
        <v>0.0045224047789762</v>
      </c>
      <c r="D75" s="41">
        <v>0.0113573575367945</v>
      </c>
      <c r="E75" s="41">
        <v>0.0185646331850279</v>
      </c>
      <c r="F75" s="41">
        <v>0.0026719590213472</v>
      </c>
      <c r="H75" s="41">
        <v>27569.0</v>
      </c>
      <c r="I75" s="41">
        <v>1009.85588636</v>
      </c>
      <c r="J75" s="41">
        <v>0.011939320173342</v>
      </c>
      <c r="K75" s="41">
        <v>0.0119102914082922</v>
      </c>
      <c r="L75" s="41">
        <v>0.0194756630805181</v>
      </c>
      <c r="M75" s="41">
        <v>0.0028019726296723</v>
      </c>
      <c r="O75" s="41">
        <v>27260.0</v>
      </c>
      <c r="P75" s="41">
        <v>1101.14276344901</v>
      </c>
      <c r="Q75" s="41">
        <v>0.0051699523115625</v>
      </c>
      <c r="R75" s="41">
        <v>0.0129864095609387</v>
      </c>
      <c r="S75" s="41">
        <v>0.0212193675310359</v>
      </c>
      <c r="T75" s="41">
        <v>0.0030551878267389</v>
      </c>
    </row>
    <row r="76">
      <c r="A76" s="41">
        <v>23332.0</v>
      </c>
      <c r="B76" s="41">
        <v>1007.68674899</v>
      </c>
      <c r="C76" s="41">
        <v>0.0047323518837958</v>
      </c>
      <c r="D76" s="41">
        <v>0.0118834795681811</v>
      </c>
      <c r="E76" s="41">
        <v>0.0194278869311859</v>
      </c>
      <c r="F76" s="41">
        <v>0.0027957174539527</v>
      </c>
      <c r="H76" s="41">
        <v>26023.0</v>
      </c>
      <c r="I76" s="41">
        <v>892.171209186002</v>
      </c>
      <c r="J76" s="41">
        <v>0.0105447418558674</v>
      </c>
      <c r="K76" s="41">
        <v>0.0105208065250869</v>
      </c>
      <c r="L76" s="41">
        <v>0.0171986965367241</v>
      </c>
      <c r="M76" s="41">
        <v>0.0024750859782362</v>
      </c>
      <c r="O76" s="41">
        <v>25753.0</v>
      </c>
      <c r="P76" s="41">
        <v>965.495554752997</v>
      </c>
      <c r="Q76" s="41">
        <v>0.0045323377110056</v>
      </c>
      <c r="R76" s="41">
        <v>0.0113856641419131</v>
      </c>
      <c r="S76" s="41">
        <v>0.0186012865476838</v>
      </c>
      <c r="T76" s="41">
        <v>0.0026785878438721</v>
      </c>
    </row>
    <row r="77">
      <c r="A77" s="41">
        <v>22445.0</v>
      </c>
      <c r="B77" s="41">
        <v>932.355460505001</v>
      </c>
      <c r="C77" s="41">
        <v>0.0043771288793241</v>
      </c>
      <c r="D77" s="41">
        <v>0.0109954026793714</v>
      </c>
      <c r="E77" s="41">
        <v>0.0179647674273579</v>
      </c>
      <c r="F77" s="41">
        <v>0.002586744794675</v>
      </c>
      <c r="H77" s="41">
        <v>26143.0</v>
      </c>
      <c r="I77" s="41">
        <v>892.355237495998</v>
      </c>
      <c r="J77" s="41">
        <v>0.0105461329009357</v>
      </c>
      <c r="K77" s="41">
        <v>0.0105226273910486</v>
      </c>
      <c r="L77" s="41">
        <v>0.0172004140380976</v>
      </c>
      <c r="M77" s="41">
        <v>0.002475530831614</v>
      </c>
      <c r="O77" s="41">
        <v>28362.0</v>
      </c>
      <c r="P77" s="41">
        <v>1157.40044321899</v>
      </c>
      <c r="Q77" s="41">
        <v>0.0054359644514284</v>
      </c>
      <c r="R77" s="41">
        <v>0.0136505119054801</v>
      </c>
      <c r="S77" s="41">
        <v>0.0223162556307681</v>
      </c>
      <c r="T77" s="41">
        <v>0.0032114044308413</v>
      </c>
    </row>
    <row r="78">
      <c r="A78" s="41">
        <v>21371.0</v>
      </c>
      <c r="B78" s="41">
        <v>821.977761312999</v>
      </c>
      <c r="C78" s="41">
        <v>0.0038590775445444</v>
      </c>
      <c r="D78" s="41">
        <v>0.0096938329174425</v>
      </c>
      <c r="E78" s="41">
        <v>0.015838909615562</v>
      </c>
      <c r="F78" s="41">
        <v>0.0022804643092084</v>
      </c>
      <c r="H78" s="41">
        <v>26623.0</v>
      </c>
      <c r="I78" s="41">
        <v>892.324636200006</v>
      </c>
      <c r="J78" s="41">
        <v>0.0105486433699457</v>
      </c>
      <c r="K78" s="41">
        <v>0.0105237863437599</v>
      </c>
      <c r="L78" s="41">
        <v>0.0172061793204878</v>
      </c>
      <c r="M78" s="41">
        <v>0.0024757952580361</v>
      </c>
      <c r="O78" s="41">
        <v>27556.0</v>
      </c>
      <c r="P78" s="41">
        <v>1074.43547598501</v>
      </c>
      <c r="Q78" s="41">
        <v>0.0050457445389408</v>
      </c>
      <c r="R78" s="41">
        <v>0.0126718704292175</v>
      </c>
      <c r="S78" s="41">
        <v>0.0207127462924061</v>
      </c>
      <c r="T78" s="41">
        <v>0.0029811559052889</v>
      </c>
    </row>
    <row r="79">
      <c r="A79" s="41">
        <v>21932.0</v>
      </c>
      <c r="B79" s="41">
        <v>888.018596900001</v>
      </c>
      <c r="C79" s="41">
        <v>0.0041697305164048</v>
      </c>
      <c r="D79" s="41">
        <v>0.0104717051377634</v>
      </c>
      <c r="E79" s="41">
        <v>0.0171168725823758</v>
      </c>
      <c r="F79" s="41">
        <v>0.0024635723054556</v>
      </c>
      <c r="H79" s="41">
        <v>26287.0</v>
      </c>
      <c r="I79" s="41">
        <v>888.248876647994</v>
      </c>
      <c r="J79" s="41">
        <v>0.010504423267756</v>
      </c>
      <c r="K79" s="41">
        <v>0.010476254412951</v>
      </c>
      <c r="L79" s="41">
        <v>0.0171382345439099</v>
      </c>
      <c r="M79" s="41">
        <v>0.0024646488739165</v>
      </c>
      <c r="O79" s="41">
        <v>24779.0</v>
      </c>
      <c r="P79" s="41">
        <v>883.822057514</v>
      </c>
      <c r="Q79" s="41">
        <v>0.0041488521662615</v>
      </c>
      <c r="R79" s="41">
        <v>0.0104226982154133</v>
      </c>
      <c r="S79" s="41">
        <v>0.0170269500104378</v>
      </c>
      <c r="T79" s="41">
        <v>0.0024520270128665</v>
      </c>
    </row>
    <row r="80">
      <c r="A80" s="41">
        <v>22814.0</v>
      </c>
      <c r="B80" s="41">
        <v>936.959559068011</v>
      </c>
      <c r="C80" s="41">
        <v>0.0043995486951036</v>
      </c>
      <c r="D80" s="41">
        <v>0.0110498021310508</v>
      </c>
      <c r="E80" s="41">
        <v>0.0180591258361779</v>
      </c>
      <c r="F80" s="41">
        <v>0.0025995713974168</v>
      </c>
      <c r="H80" s="41">
        <v>25474.0</v>
      </c>
      <c r="I80" s="41">
        <v>804.780395248992</v>
      </c>
      <c r="J80" s="41">
        <v>0.0095159849473431</v>
      </c>
      <c r="K80" s="41">
        <v>0.0094918492791797</v>
      </c>
      <c r="L80" s="41">
        <v>0.0155239326969138</v>
      </c>
      <c r="M80" s="41">
        <v>0.0022329889017278</v>
      </c>
      <c r="O80" s="41">
        <v>28916.0</v>
      </c>
      <c r="P80" s="41">
        <v>1177.73312344099</v>
      </c>
      <c r="Q80" s="41">
        <v>0.0055312724529354</v>
      </c>
      <c r="R80" s="41">
        <v>0.0138902545558114</v>
      </c>
      <c r="S80" s="41">
        <v>0.0227069556655501</v>
      </c>
      <c r="T80" s="41">
        <v>0.003267867134136</v>
      </c>
    </row>
    <row r="81">
      <c r="A81" s="41">
        <v>23444.0</v>
      </c>
      <c r="B81" s="41">
        <v>999.313304456998</v>
      </c>
      <c r="C81" s="41">
        <v>0.0046931719419969</v>
      </c>
      <c r="D81" s="41">
        <v>0.0117854021642735</v>
      </c>
      <c r="E81" s="41">
        <v>0.0192667098577998</v>
      </c>
      <c r="F81" s="41">
        <v>0.0027725936134388</v>
      </c>
      <c r="H81" s="41">
        <v>25873.0</v>
      </c>
      <c r="I81" s="41">
        <v>843.047566120993</v>
      </c>
      <c r="J81" s="41">
        <v>0.0099682663452913</v>
      </c>
      <c r="K81" s="41">
        <v>0.0099423226128846</v>
      </c>
      <c r="L81" s="41">
        <v>0.0162625010655459</v>
      </c>
      <c r="M81" s="41">
        <v>0.0023390430043113</v>
      </c>
      <c r="O81" s="41">
        <v>27473.0</v>
      </c>
      <c r="P81" s="41">
        <v>1073.180310165</v>
      </c>
      <c r="Q81" s="41">
        <v>0.0050399107492802</v>
      </c>
      <c r="R81" s="41">
        <v>0.0126566867099498</v>
      </c>
      <c r="S81" s="41">
        <v>0.020689412940406</v>
      </c>
      <c r="T81" s="41">
        <v>0.0029776275922306</v>
      </c>
    </row>
    <row r="82">
      <c r="A82" s="41">
        <v>20889.0</v>
      </c>
      <c r="B82" s="41">
        <v>835.747101027998</v>
      </c>
      <c r="C82" s="41">
        <v>0.0039243286537652</v>
      </c>
      <c r="D82" s="41">
        <v>0.0098556283182849</v>
      </c>
      <c r="E82" s="41">
        <v>0.0161092137206939</v>
      </c>
      <c r="F82" s="41">
        <v>0.0023186436656026</v>
      </c>
      <c r="H82" s="41">
        <v>25288.0</v>
      </c>
      <c r="I82" s="41">
        <v>853.496809313001</v>
      </c>
      <c r="J82" s="41">
        <v>0.0100937536885969</v>
      </c>
      <c r="K82" s="41">
        <v>0.0100666435289827</v>
      </c>
      <c r="L82" s="41">
        <v>0.0164682606745982</v>
      </c>
      <c r="M82" s="41">
        <v>0.0023682921633417</v>
      </c>
      <c r="O82" s="41">
        <v>24673.0</v>
      </c>
      <c r="P82" s="41">
        <v>909.420577441997</v>
      </c>
      <c r="Q82" s="41">
        <v>0.0042698150493059</v>
      </c>
      <c r="R82" s="41">
        <v>0.0107261755378018</v>
      </c>
      <c r="S82" s="41">
        <v>0.0175238437412859</v>
      </c>
      <c r="T82" s="41">
        <v>0.0025234616301585</v>
      </c>
    </row>
    <row r="83">
      <c r="A83" s="41">
        <v>20963.0</v>
      </c>
      <c r="B83" s="41">
        <v>833.560083639997</v>
      </c>
      <c r="C83" s="41">
        <v>0.0039135887896482</v>
      </c>
      <c r="D83" s="41">
        <v>0.0098304422213732</v>
      </c>
      <c r="E83" s="41">
        <v>0.0160628975725298</v>
      </c>
      <c r="F83" s="41">
        <v>0.0023127413862304</v>
      </c>
      <c r="H83" s="41">
        <v>24397.0</v>
      </c>
      <c r="I83" s="41">
        <v>789.231873297001</v>
      </c>
      <c r="J83" s="41">
        <v>0.0093321792010295</v>
      </c>
      <c r="K83" s="41">
        <v>0.0093076216167842</v>
      </c>
      <c r="L83" s="41">
        <v>0.0152250907911739</v>
      </c>
      <c r="M83" s="41">
        <v>0.0021897355831582</v>
      </c>
      <c r="O83" s="41">
        <v>25208.0</v>
      </c>
      <c r="P83" s="41">
        <v>939.286790362995</v>
      </c>
      <c r="Q83" s="41">
        <v>0.0044096027192406</v>
      </c>
      <c r="R83" s="41">
        <v>0.0110775779295979</v>
      </c>
      <c r="S83" s="41">
        <v>0.0180972739222518</v>
      </c>
      <c r="T83" s="41">
        <v>0.002606109040114</v>
      </c>
    </row>
    <row r="84">
      <c r="A84" s="41">
        <v>20751.0</v>
      </c>
      <c r="B84" s="41">
        <v>806.299493255995</v>
      </c>
      <c r="C84" s="41">
        <v>0.003785304308538</v>
      </c>
      <c r="D84" s="41">
        <v>0.0095087347390936</v>
      </c>
      <c r="E84" s="41">
        <v>0.0155357363174679</v>
      </c>
      <c r="F84" s="41">
        <v>0.0022370361116277</v>
      </c>
      <c r="H84" s="41">
        <v>26062.0</v>
      </c>
      <c r="I84" s="41">
        <v>905.60198372601</v>
      </c>
      <c r="J84" s="41">
        <v>0.0107072074006677</v>
      </c>
      <c r="K84" s="41">
        <v>0.0106801153729262</v>
      </c>
      <c r="L84" s="41">
        <v>0.0174670911958838</v>
      </c>
      <c r="M84" s="41">
        <v>0.0025125982560775</v>
      </c>
      <c r="O84" s="41">
        <v>24632.0</v>
      </c>
      <c r="P84" s="41">
        <v>884.168821112005</v>
      </c>
      <c r="Q84" s="41">
        <v>0.0041508642829878</v>
      </c>
      <c r="R84" s="41">
        <v>0.0104287313281298</v>
      </c>
      <c r="S84" s="41">
        <v>0.0170339983494101</v>
      </c>
      <c r="T84" s="41">
        <v>0.0024534473217805</v>
      </c>
    </row>
    <row r="85">
      <c r="A85" s="41">
        <v>23145.0</v>
      </c>
      <c r="B85" s="41">
        <v>979.201691715003</v>
      </c>
      <c r="C85" s="41">
        <v>0.0045982097455</v>
      </c>
      <c r="D85" s="41">
        <v>0.0115472169581512</v>
      </c>
      <c r="E85" s="41">
        <v>0.0188765089900839</v>
      </c>
      <c r="F85" s="41">
        <v>0.0027165665903973</v>
      </c>
      <c r="H85" s="41">
        <v>27167.0</v>
      </c>
      <c r="I85" s="41">
        <v>931.406639866007</v>
      </c>
      <c r="J85" s="41">
        <v>0.0110155252249112</v>
      </c>
      <c r="K85" s="41">
        <v>0.0109843943687071</v>
      </c>
      <c r="L85" s="41">
        <v>0.0179741357681859</v>
      </c>
      <c r="M85" s="41">
        <v>0.0025841346123056</v>
      </c>
      <c r="O85" s="41">
        <v>28193.0</v>
      </c>
      <c r="P85" s="41">
        <v>1125.352679424</v>
      </c>
      <c r="Q85" s="41">
        <v>0.0052840852363263</v>
      </c>
      <c r="R85" s="41">
        <v>0.01327104183719</v>
      </c>
      <c r="S85" s="41">
        <v>0.0216903945745239</v>
      </c>
      <c r="T85" s="41">
        <v>0.0031221091904193</v>
      </c>
    </row>
    <row r="86">
      <c r="A86" s="41">
        <v>20060.0</v>
      </c>
      <c r="B86" s="41">
        <v>666.045368614009</v>
      </c>
      <c r="C86" s="41">
        <v>0.0031261464713046</v>
      </c>
      <c r="D86" s="41">
        <v>0.0078536890455382</v>
      </c>
      <c r="E86" s="41">
        <v>0.012829481374688</v>
      </c>
      <c r="F86" s="41">
        <v>0.001847643594736</v>
      </c>
      <c r="H86" s="41">
        <v>25261.0</v>
      </c>
      <c r="I86" s="41">
        <v>763.284962831006</v>
      </c>
      <c r="J86" s="41">
        <v>0.0090242335576334</v>
      </c>
      <c r="K86" s="41">
        <v>0.0090008278463502</v>
      </c>
      <c r="L86" s="41">
        <v>0.0147223440000878</v>
      </c>
      <c r="M86" s="41">
        <v>0.0021174819503667</v>
      </c>
      <c r="O86" s="41">
        <v>27986.0</v>
      </c>
      <c r="P86" s="41">
        <v>1048.35211551</v>
      </c>
      <c r="Q86" s="41">
        <v>0.0049228318307349</v>
      </c>
      <c r="R86" s="41">
        <v>0.0123633993031486</v>
      </c>
      <c r="S86" s="41">
        <v>0.0202079206107679</v>
      </c>
      <c r="T86" s="41">
        <v>0.0029085942306498</v>
      </c>
    </row>
    <row r="87">
      <c r="A87" s="41">
        <v>23247.0</v>
      </c>
      <c r="B87" s="41">
        <v>958.209480297999</v>
      </c>
      <c r="C87" s="41">
        <v>0.0044993829354354</v>
      </c>
      <c r="D87" s="41">
        <v>0.011300586335546</v>
      </c>
      <c r="E87" s="41">
        <v>0.0184688631084122</v>
      </c>
      <c r="F87" s="41">
        <v>0.0026585768916361</v>
      </c>
      <c r="H87" s="41">
        <v>27795.0</v>
      </c>
      <c r="I87" s="41">
        <v>956.711807418003</v>
      </c>
      <c r="J87" s="41">
        <v>0.0113123955512855</v>
      </c>
      <c r="K87" s="41">
        <v>0.0112828348656802</v>
      </c>
      <c r="L87" s="41">
        <v>0.018455554486654</v>
      </c>
      <c r="M87" s="41">
        <v>0.0026543557141999</v>
      </c>
      <c r="O87" s="41">
        <v>26979.0</v>
      </c>
      <c r="P87" s="41">
        <v>989.438424777996</v>
      </c>
      <c r="Q87" s="41">
        <v>0.00464604005927358</v>
      </c>
      <c r="R87" s="41">
        <v>0.0116698903110541</v>
      </c>
      <c r="S87" s="41">
        <v>0.019069667755722</v>
      </c>
      <c r="T87" s="41">
        <v>0.00274545789214429</v>
      </c>
    </row>
    <row r="88">
      <c r="A88" s="41">
        <v>22109.0</v>
      </c>
      <c r="B88" s="41">
        <v>895.971966772995</v>
      </c>
      <c r="C88" s="41">
        <v>0.0042063974360955</v>
      </c>
      <c r="D88" s="41">
        <v>0.0105668889882218</v>
      </c>
      <c r="E88" s="41">
        <v>0.0172635729775141</v>
      </c>
      <c r="F88" s="41">
        <v>0.0024859544835969</v>
      </c>
      <c r="H88" s="41">
        <v>25456.0</v>
      </c>
      <c r="I88" s="41">
        <v>813.882709270998</v>
      </c>
      <c r="J88" s="41">
        <v>0.0096241534508798</v>
      </c>
      <c r="K88" s="41">
        <v>0.0095993351634419</v>
      </c>
      <c r="L88" s="41">
        <v>0.015700835338436</v>
      </c>
      <c r="M88" s="41">
        <v>0.0022583380211138</v>
      </c>
      <c r="O88" s="41">
        <v>27296.0</v>
      </c>
      <c r="P88" s="41">
        <v>1005.80872011</v>
      </c>
      <c r="Q88" s="41">
        <v>0.0160240723657072</v>
      </c>
      <c r="R88" s="41">
        <v>0.0118622942113548</v>
      </c>
      <c r="S88" s="41">
        <v>0.0193840932850399</v>
      </c>
      <c r="T88" s="41">
        <v>0.0027906791897583</v>
      </c>
    </row>
    <row r="89">
      <c r="A89" s="41">
        <v>23054.0</v>
      </c>
      <c r="B89" s="41">
        <v>983.152530696999</v>
      </c>
      <c r="C89" s="41">
        <v>0.0046175885238747</v>
      </c>
      <c r="D89" s="41">
        <v>0.0115951771585181</v>
      </c>
      <c r="E89" s="41">
        <v>0.01895689433217</v>
      </c>
      <c r="F89" s="41">
        <v>0.0027278880966276</v>
      </c>
      <c r="H89" s="41">
        <v>27630.0</v>
      </c>
      <c r="I89" s="41">
        <v>999.714528826996</v>
      </c>
      <c r="J89" s="41">
        <v>0.0118213030259708</v>
      </c>
      <c r="K89" s="41">
        <v>0.0117901612139249</v>
      </c>
      <c r="L89" s="41">
        <v>0.0192860898733042</v>
      </c>
      <c r="M89" s="41">
        <v>0.0027737370552917</v>
      </c>
      <c r="O89" s="41">
        <v>27012.0</v>
      </c>
      <c r="P89" s="41">
        <v>1069.91858489099</v>
      </c>
      <c r="Q89" s="41">
        <v>0.0170549035320648</v>
      </c>
      <c r="R89" s="41">
        <v>0.0126176362732958</v>
      </c>
      <c r="S89" s="41">
        <v>0.020640574568002</v>
      </c>
      <c r="T89" s="41">
        <v>0.002968465848525</v>
      </c>
    </row>
    <row r="90">
      <c r="A90" s="41">
        <v>18965.0</v>
      </c>
      <c r="B90" s="41">
        <v>656.52041007801</v>
      </c>
      <c r="C90" s="41">
        <v>0.0030811423888833</v>
      </c>
      <c r="D90" s="41">
        <v>0.0077429384682187</v>
      </c>
      <c r="E90" s="41">
        <v>0.0126419162246358</v>
      </c>
      <c r="F90" s="41">
        <v>0.0018216051626804</v>
      </c>
      <c r="H90" s="41">
        <v>23646.0</v>
      </c>
      <c r="I90" s="41">
        <v>750.072949066991</v>
      </c>
      <c r="J90" s="41">
        <v>0.0088671329842554</v>
      </c>
      <c r="K90" s="41">
        <v>0.0088449019517593</v>
      </c>
      <c r="L90" s="41">
        <v>0.0144650701831581</v>
      </c>
      <c r="M90" s="41">
        <v>0.0020808283306305</v>
      </c>
      <c r="O90" s="41">
        <v>25016.0</v>
      </c>
      <c r="P90" s="41">
        <v>947.761190321</v>
      </c>
      <c r="Q90" s="41">
        <v>0.0151021465166405</v>
      </c>
      <c r="R90" s="41">
        <v>0.0111772501397374</v>
      </c>
      <c r="S90" s="41">
        <v>0.018271955728664</v>
      </c>
      <c r="T90" s="41">
        <v>0.0026295788724249</v>
      </c>
    </row>
    <row r="91">
      <c r="A91" s="41">
        <v>21879.0</v>
      </c>
      <c r="B91" s="41">
        <v>896.694819019991</v>
      </c>
      <c r="C91" s="41">
        <v>0.0042103640406377</v>
      </c>
      <c r="D91" s="41">
        <v>0.0105742858807832</v>
      </c>
      <c r="E91" s="41">
        <v>0.0172830235486298</v>
      </c>
      <c r="F91" s="41">
        <v>0.0024876951970999</v>
      </c>
      <c r="H91" s="41">
        <v>25325.0</v>
      </c>
      <c r="I91" s="41">
        <v>840.254868357995</v>
      </c>
      <c r="J91" s="41">
        <v>0.0099340783658166</v>
      </c>
      <c r="K91" s="41">
        <v>0.009909615325586</v>
      </c>
      <c r="L91" s="41">
        <v>0.0162050271306779</v>
      </c>
      <c r="M91" s="41">
        <v>0.0023313278526777</v>
      </c>
      <c r="O91" s="41">
        <v>25664.0</v>
      </c>
      <c r="P91" s="41">
        <v>990.270684268</v>
      </c>
      <c r="Q91" s="41">
        <v>0.0157821678814705</v>
      </c>
      <c r="R91" s="41">
        <v>0.011678870196618</v>
      </c>
      <c r="S91" s="41">
        <v>0.019096764999622</v>
      </c>
      <c r="T91" s="41">
        <v>0.0027475971241083</v>
      </c>
    </row>
    <row r="92">
      <c r="A92" s="41">
        <v>20389.0</v>
      </c>
      <c r="B92" s="41">
        <v>779.239356318998</v>
      </c>
      <c r="C92" s="41">
        <v>0.0036589751269202</v>
      </c>
      <c r="D92" s="41">
        <v>0.0091908679323845</v>
      </c>
      <c r="E92" s="41">
        <v>0.0150180131255122</v>
      </c>
      <c r="F92" s="41">
        <v>0.0021621443648527</v>
      </c>
      <c r="H92" s="41">
        <v>25821.0</v>
      </c>
      <c r="I92" s="41">
        <v>890.32786107299</v>
      </c>
      <c r="J92" s="41">
        <v>0.0105268584870788</v>
      </c>
      <c r="K92" s="41">
        <v>0.0104997646598745</v>
      </c>
      <c r="L92" s="41">
        <v>0.0171734601276463</v>
      </c>
      <c r="M92" s="41">
        <v>0.002470155699619</v>
      </c>
      <c r="O92" s="41">
        <v>27086.0</v>
      </c>
      <c r="P92" s="41">
        <v>1120.140359195</v>
      </c>
      <c r="Q92" s="41">
        <v>1.493054793426E-4</v>
      </c>
      <c r="R92" s="41">
        <v>0.013210149005834</v>
      </c>
      <c r="S92" s="41">
        <v>0.0216024020041299</v>
      </c>
      <c r="T92" s="41">
        <v>0.0031076970586083</v>
      </c>
    </row>
    <row r="93">
      <c r="A93" s="41">
        <v>22288.0</v>
      </c>
      <c r="B93" s="41">
        <v>925.927359294</v>
      </c>
      <c r="C93" s="41">
        <v>0.004348324546616</v>
      </c>
      <c r="D93" s="41">
        <v>0.0109196028783103</v>
      </c>
      <c r="E93" s="41">
        <v>0.0178508378917698</v>
      </c>
      <c r="F93" s="41">
        <v>0.0025688750731777</v>
      </c>
      <c r="H93" s="41">
        <v>25250.0</v>
      </c>
      <c r="I93" s="41">
        <v>842.225927949999</v>
      </c>
      <c r="J93" s="41">
        <v>0.0099549573522278</v>
      </c>
      <c r="K93" s="41">
        <v>0.009933476834172</v>
      </c>
      <c r="L93" s="41">
        <v>0.01623530326601</v>
      </c>
      <c r="M93" s="41">
        <v>0.0023369766333943</v>
      </c>
      <c r="O93" s="41">
        <v>26656.0</v>
      </c>
      <c r="P93" s="41">
        <v>1074.301041226</v>
      </c>
      <c r="Q93" s="41">
        <v>1.432064554288E-4</v>
      </c>
      <c r="R93" s="41">
        <v>0.0126700041536458</v>
      </c>
      <c r="S93" s="41">
        <v>0.0207204593541319</v>
      </c>
      <c r="T93" s="41">
        <v>0.00298076907385</v>
      </c>
    </row>
    <row r="94">
      <c r="A94" s="41">
        <v>24256.0</v>
      </c>
      <c r="B94" s="41">
        <v>1041.08545819499</v>
      </c>
      <c r="C94" s="41">
        <v>0.004888793504444</v>
      </c>
      <c r="D94" s="41">
        <v>0.0122778971851995</v>
      </c>
      <c r="E94" s="41">
        <v>0.0200681693878559</v>
      </c>
      <c r="F94" s="41">
        <v>0.002888525989147</v>
      </c>
      <c r="H94" s="41">
        <v>27019.0</v>
      </c>
      <c r="I94" s="41">
        <v>905.879637281992</v>
      </c>
      <c r="J94" s="41">
        <v>0.0107114159420207</v>
      </c>
      <c r="K94" s="41">
        <v>0.0106841153544706</v>
      </c>
      <c r="L94" s="41">
        <v>0.0174741887015621</v>
      </c>
      <c r="M94" s="41">
        <v>0.002513551815561</v>
      </c>
      <c r="O94" s="41">
        <v>26818.0</v>
      </c>
      <c r="P94" s="41">
        <v>1021.472292302</v>
      </c>
      <c r="Q94" s="41">
        <v>1.36145096979E-4</v>
      </c>
      <c r="R94" s="41">
        <v>0.0120470405463827</v>
      </c>
      <c r="S94" s="41">
        <v>0.019696563812794</v>
      </c>
      <c r="T94" s="41">
        <v>0.0028342013147666</v>
      </c>
    </row>
    <row r="95">
      <c r="A95" s="41">
        <v>21003.0</v>
      </c>
      <c r="B95" s="41">
        <v>775.806421683999</v>
      </c>
      <c r="C95" s="41">
        <v>0.0036425721791929</v>
      </c>
      <c r="D95" s="41">
        <v>0.0091504119288485</v>
      </c>
      <c r="E95" s="41">
        <v>0.0149496444597059</v>
      </c>
      <c r="F95" s="41">
        <v>0.002152749440861</v>
      </c>
      <c r="H95" s="41">
        <v>26315.0</v>
      </c>
      <c r="I95" s="41">
        <v>860.773387613007</v>
      </c>
      <c r="J95" s="41">
        <v>0.0101810225528635</v>
      </c>
      <c r="K95" s="41">
        <v>0.0101521642488166</v>
      </c>
      <c r="L95" s="41">
        <v>0.0166125788456081</v>
      </c>
      <c r="M95" s="41">
        <v>0.0023883453541193</v>
      </c>
      <c r="O95" s="41">
        <v>27588.0</v>
      </c>
      <c r="P95" s="41">
        <v>1097.68783183</v>
      </c>
      <c r="Q95" s="41">
        <v>1.463373567655E-4</v>
      </c>
      <c r="R95" s="41">
        <v>0.0129455777492638</v>
      </c>
      <c r="S95" s="41">
        <v>0.0211752499957419</v>
      </c>
      <c r="T95" s="41">
        <v>0.0030455836598555</v>
      </c>
    </row>
    <row r="96">
      <c r="A96" s="41">
        <v>23595.0</v>
      </c>
      <c r="B96" s="41">
        <v>978.037025351994</v>
      </c>
      <c r="C96" s="41">
        <v>0.0045932992861593</v>
      </c>
      <c r="D96" s="41">
        <v>0.0115339938894462</v>
      </c>
      <c r="E96" s="41">
        <v>0.0188574303637101</v>
      </c>
      <c r="F96" s="41">
        <v>0.0027134775425443</v>
      </c>
      <c r="H96" s="41">
        <v>26923.0</v>
      </c>
      <c r="I96" s="41">
        <v>885.772718104999</v>
      </c>
      <c r="J96" s="41">
        <v>0.0104746882085793</v>
      </c>
      <c r="K96" s="41">
        <v>0.0104463046290584</v>
      </c>
      <c r="L96" s="41">
        <v>0.0170900878387258</v>
      </c>
      <c r="M96" s="41">
        <v>0.0024575998085362</v>
      </c>
      <c r="O96" s="41">
        <v>27477.0</v>
      </c>
      <c r="P96" s="41">
        <v>1064.92191828999</v>
      </c>
      <c r="Q96" s="41">
        <v>1.419455856141E-4</v>
      </c>
      <c r="R96" s="41">
        <v>0.0125591246442291</v>
      </c>
      <c r="S96" s="41">
        <v>0.0205372319853279</v>
      </c>
      <c r="T96" s="41">
        <v>0.0029546432562222</v>
      </c>
    </row>
    <row r="97">
      <c r="A97" s="41">
        <v>20951.0</v>
      </c>
      <c r="B97" s="41">
        <v>810.132048532992</v>
      </c>
      <c r="C97" s="41">
        <v>0.0038041761716379</v>
      </c>
      <c r="D97" s="41">
        <v>0.0095544053674322</v>
      </c>
      <c r="E97" s="41">
        <v>0.0156153730478441</v>
      </c>
      <c r="F97" s="41">
        <v>0.0022477423535306</v>
      </c>
      <c r="H97" s="41">
        <v>25728.0</v>
      </c>
      <c r="I97" s="41">
        <v>845.387661396001</v>
      </c>
      <c r="J97" s="41">
        <v>0.009997321419656</v>
      </c>
      <c r="K97" s="41">
        <v>0.0099706928545285</v>
      </c>
      <c r="L97" s="41">
        <v>0.0163106691596361</v>
      </c>
      <c r="M97" s="41">
        <v>0.0023457031045333</v>
      </c>
      <c r="O97" s="41">
        <v>26220.0</v>
      </c>
      <c r="P97" s="41">
        <v>1022.614469831</v>
      </c>
      <c r="Q97" s="41">
        <v>1.36286274237E-4</v>
      </c>
      <c r="R97" s="41">
        <v>0.0120601911242417</v>
      </c>
      <c r="S97" s="41">
        <v>0.0197161499395739</v>
      </c>
      <c r="T97" s="41">
        <v>0.0028373204720055</v>
      </c>
    </row>
    <row r="98">
      <c r="A98" s="41">
        <v>21353.0</v>
      </c>
      <c r="B98" s="41">
        <v>831.613645930003</v>
      </c>
      <c r="C98" s="41">
        <v>0.0039045275907749</v>
      </c>
      <c r="D98" s="41">
        <v>0.0098080559392242</v>
      </c>
      <c r="E98" s="41">
        <v>0.0160252780979899</v>
      </c>
      <c r="F98" s="41">
        <v>0.0023074411220915</v>
      </c>
      <c r="H98" s="41">
        <v>26085.0</v>
      </c>
      <c r="I98" s="41">
        <v>862.681834333998</v>
      </c>
      <c r="J98" s="41">
        <v>0.0102009069132647</v>
      </c>
      <c r="K98" s="41">
        <v>0.0101738565978131</v>
      </c>
      <c r="L98" s="41">
        <v>0.0166426935919219</v>
      </c>
      <c r="M98" s="41">
        <v>0.0023934765982057</v>
      </c>
      <c r="O98" s="41">
        <v>26196.0</v>
      </c>
      <c r="P98" s="41">
        <v>1012.41618129999</v>
      </c>
      <c r="Q98" s="41">
        <v>1.349112046025E-4</v>
      </c>
      <c r="R98" s="41">
        <v>0.0119388102547979</v>
      </c>
      <c r="S98" s="41">
        <v>0.0195169039468439</v>
      </c>
      <c r="T98" s="41">
        <v>0.0028087104415916</v>
      </c>
    </row>
    <row r="99">
      <c r="A99" s="41">
        <v>20813.0</v>
      </c>
      <c r="B99" s="41">
        <v>796.100231468997</v>
      </c>
      <c r="C99" s="41">
        <v>0.0037371879400606</v>
      </c>
      <c r="D99" s="41">
        <v>0.009388942829605</v>
      </c>
      <c r="E99" s="41">
        <v>0.0153369042139581</v>
      </c>
      <c r="F99" s="41">
        <v>0.0022088750461944</v>
      </c>
      <c r="H99" s="41">
        <v>24260.0</v>
      </c>
      <c r="I99" s="41">
        <v>739.53959397001</v>
      </c>
      <c r="J99" s="41">
        <v>0.008744256906385</v>
      </c>
      <c r="K99" s="41">
        <v>0.0087220602921374</v>
      </c>
      <c r="L99" s="41">
        <v>0.0142649344674941</v>
      </c>
      <c r="M99" s="41">
        <v>0.002051953311153</v>
      </c>
      <c r="O99" s="41">
        <v>25852.0</v>
      </c>
      <c r="P99" s="41">
        <v>970.352860809</v>
      </c>
      <c r="Q99" s="41">
        <v>1.293498160196E-4</v>
      </c>
      <c r="R99" s="41">
        <v>0.0114438515211965</v>
      </c>
      <c r="S99" s="41">
        <v>0.018715790250398</v>
      </c>
      <c r="T99" s="41">
        <v>0.0026923147184639</v>
      </c>
    </row>
    <row r="100">
      <c r="A100" s="41">
        <v>8079.0</v>
      </c>
      <c r="B100" s="41">
        <v>274.438871973994</v>
      </c>
      <c r="C100" s="41">
        <v>0.00128820751687911</v>
      </c>
      <c r="D100" s="41">
        <v>0.00323625494032177</v>
      </c>
      <c r="E100" s="41">
        <v>0.00528680672944203</v>
      </c>
      <c r="F100" s="41">
        <v>7.61328630530543E-4</v>
      </c>
      <c r="H100" s="41">
        <v>10202.0</v>
      </c>
      <c r="I100" s="41">
        <v>305.604395791</v>
      </c>
      <c r="J100" s="41">
        <v>0.00361391383080891</v>
      </c>
      <c r="K100" s="41">
        <v>0.00360447819111146</v>
      </c>
      <c r="L100" s="41">
        <v>0.00589589221671005</v>
      </c>
      <c r="M100" s="41">
        <v>8.47976136736178E-4</v>
      </c>
      <c r="O100" s="41">
        <v>11312.0</v>
      </c>
      <c r="P100" s="41">
        <v>429.542451684999</v>
      </c>
      <c r="Q100" s="43">
        <v>5.7255439432118E-5</v>
      </c>
      <c r="R100" s="41">
        <v>0.00506600435353482</v>
      </c>
      <c r="S100" s="41">
        <v>0.00828374579365801</v>
      </c>
      <c r="T100" s="41">
        <v>0.00119184923750835</v>
      </c>
    </row>
    <row r="101">
      <c r="A101" s="44">
        <f t="shared" ref="A101:F101" si="1">SUM(A2:A100)</f>
        <v>2116282</v>
      </c>
      <c r="B101" s="44">
        <f t="shared" si="1"/>
        <v>85152.25643</v>
      </c>
      <c r="C101" s="44">
        <f t="shared" si="1"/>
        <v>0.399609799</v>
      </c>
      <c r="D101" s="44">
        <f t="shared" si="1"/>
        <v>1.004246421</v>
      </c>
      <c r="E101" s="44">
        <f t="shared" si="1"/>
        <v>1.639569553</v>
      </c>
      <c r="F101" s="44">
        <f t="shared" si="1"/>
        <v>0.2362583106</v>
      </c>
      <c r="H101" s="44">
        <f t="shared" ref="H101:M101" si="2">SUM(H2:H100)</f>
        <v>2500204</v>
      </c>
      <c r="I101" s="44">
        <f t="shared" si="2"/>
        <v>85430.68367</v>
      </c>
      <c r="J101" s="44">
        <f t="shared" si="2"/>
        <v>1.009699652</v>
      </c>
      <c r="K101" s="44">
        <f t="shared" si="2"/>
        <v>1.007530087</v>
      </c>
      <c r="L101" s="44">
        <f t="shared" si="2"/>
        <v>1.646688115</v>
      </c>
      <c r="M101" s="44">
        <f t="shared" si="2"/>
        <v>0.2370300099</v>
      </c>
      <c r="O101" s="44">
        <f t="shared" ref="O101:T101" si="3">SUM(O2:O100)</f>
        <v>2591896</v>
      </c>
      <c r="P101" s="44">
        <f t="shared" si="3"/>
        <v>98555.61645</v>
      </c>
      <c r="Q101" s="44">
        <f t="shared" si="3"/>
        <v>0.4677003957</v>
      </c>
      <c r="R101" s="44">
        <f t="shared" si="3"/>
        <v>1.162343527</v>
      </c>
      <c r="S101" s="44">
        <f t="shared" si="3"/>
        <v>1.899781699</v>
      </c>
      <c r="T101" s="44">
        <f t="shared" si="3"/>
        <v>0.2734529238</v>
      </c>
    </row>
  </sheetData>
  <mergeCells count="3">
    <mergeCell ref="A1:F1"/>
    <mergeCell ref="H1:M1"/>
    <mergeCell ref="O1:T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6" max="6" width="13.75"/>
    <col customWidth="1" min="8" max="8" width="17.13"/>
    <col customWidth="1" min="15" max="15" width="17.0"/>
  </cols>
  <sheetData>
    <row r="1">
      <c r="A1" s="40" t="s">
        <v>9</v>
      </c>
      <c r="H1" s="40" t="s">
        <v>8</v>
      </c>
      <c r="O1" s="40" t="s">
        <v>10</v>
      </c>
    </row>
    <row r="2">
      <c r="A2" s="20" t="s">
        <v>11</v>
      </c>
      <c r="B2" s="20" t="s">
        <v>12</v>
      </c>
      <c r="C2" s="20" t="s">
        <v>13</v>
      </c>
      <c r="D2" s="20" t="s">
        <v>14</v>
      </c>
      <c r="E2" s="20" t="s">
        <v>15</v>
      </c>
      <c r="F2" s="20" t="s">
        <v>16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15</v>
      </c>
      <c r="M2" s="20" t="s">
        <v>16</v>
      </c>
      <c r="O2" s="20" t="s">
        <v>11</v>
      </c>
      <c r="P2" s="20" t="s">
        <v>12</v>
      </c>
      <c r="Q2" s="20" t="s">
        <v>13</v>
      </c>
      <c r="R2" s="20" t="s">
        <v>14</v>
      </c>
      <c r="S2" s="20" t="s">
        <v>15</v>
      </c>
      <c r="T2" s="20" t="s">
        <v>16</v>
      </c>
    </row>
    <row r="3">
      <c r="A3" s="41">
        <v>7250.0</v>
      </c>
      <c r="B3" s="41">
        <v>300.948848954</v>
      </c>
      <c r="C3" s="41">
        <v>0.0047529784345771</v>
      </c>
      <c r="D3" s="41">
        <v>0.0035497463355041</v>
      </c>
      <c r="E3" s="41">
        <v>0.00571105456884</v>
      </c>
      <c r="F3" s="41">
        <v>8.350998282166E-4</v>
      </c>
      <c r="H3" s="41">
        <v>9226.0</v>
      </c>
      <c r="I3" s="41">
        <v>351.454641827</v>
      </c>
      <c r="J3" s="41">
        <v>0.0055622871038188</v>
      </c>
      <c r="K3" s="41">
        <v>0.004146086685027</v>
      </c>
      <c r="L3" s="41">
        <v>0.0066934653547679</v>
      </c>
      <c r="M3" s="41">
        <v>9.754181350388E-4</v>
      </c>
      <c r="O3" s="41">
        <v>9660.0</v>
      </c>
      <c r="P3" s="41">
        <v>416.649481323999</v>
      </c>
      <c r="Q3" s="41">
        <v>0.0065955968462561</v>
      </c>
      <c r="R3" s="41">
        <v>0.0049149116469423</v>
      </c>
      <c r="S3" s="41">
        <v>0.0079386377397939</v>
      </c>
      <c r="T3" s="41">
        <v>0.0011562955869694</v>
      </c>
    </row>
    <row r="4">
      <c r="A4" s="41">
        <v>7175.0</v>
      </c>
      <c r="B4" s="41">
        <v>298.380219102</v>
      </c>
      <c r="C4" s="41">
        <v>0.0047239770934254</v>
      </c>
      <c r="D4" s="41">
        <v>0.0035193803119111</v>
      </c>
      <c r="E4" s="41">
        <v>0.0056869545495599</v>
      </c>
      <c r="F4" s="41">
        <v>8.279635168166E-4</v>
      </c>
      <c r="H4" s="41">
        <v>8380.0</v>
      </c>
      <c r="I4" s="41">
        <v>329.268930244999</v>
      </c>
      <c r="J4" s="41">
        <v>0.0051952869979502</v>
      </c>
      <c r="K4" s="41">
        <v>0.0038837659372965</v>
      </c>
      <c r="L4" s="41">
        <v>0.00623795221258</v>
      </c>
      <c r="M4" s="41">
        <v>9.136994373138E-4</v>
      </c>
      <c r="O4" s="41">
        <v>9209.0</v>
      </c>
      <c r="P4" s="41">
        <v>376.228499463999</v>
      </c>
      <c r="Q4" s="41">
        <v>0.0059689404322852</v>
      </c>
      <c r="R4" s="41">
        <v>0.0044378870992888</v>
      </c>
      <c r="S4" s="41">
        <v>0.007196804090772</v>
      </c>
      <c r="T4" s="41">
        <v>0.001044059810475</v>
      </c>
    </row>
    <row r="5">
      <c r="A5" s="41">
        <v>6724.0</v>
      </c>
      <c r="B5" s="41">
        <v>257.254058702</v>
      </c>
      <c r="C5" s="41">
        <v>0.0040681675944318</v>
      </c>
      <c r="D5" s="41">
        <v>0.0030341870815076</v>
      </c>
      <c r="E5" s="41">
        <v>0.0048932866924039</v>
      </c>
      <c r="F5" s="41">
        <v>7.138059546083E-4</v>
      </c>
      <c r="H5" s="41">
        <v>9019.0</v>
      </c>
      <c r="I5" s="41">
        <v>379.484097689</v>
      </c>
      <c r="J5" s="41">
        <v>0.0059830230228515</v>
      </c>
      <c r="K5" s="41">
        <v>0.0044754651191333</v>
      </c>
      <c r="L5" s="41">
        <v>0.007180304633128</v>
      </c>
      <c r="M5" s="41">
        <v>0.0010528943729333</v>
      </c>
      <c r="O5" s="41">
        <v>9803.0</v>
      </c>
      <c r="P5" s="41">
        <v>425.80320942</v>
      </c>
      <c r="Q5" s="41">
        <v>0.0067561654921642</v>
      </c>
      <c r="R5" s="41">
        <v>0.0050220979618805</v>
      </c>
      <c r="S5" s="41">
        <v>0.008147278462262</v>
      </c>
      <c r="T5" s="41">
        <v>0.001181535762925</v>
      </c>
    </row>
    <row r="6">
      <c r="A6" s="41">
        <v>8475.0</v>
      </c>
      <c r="B6" s="41">
        <v>385.656591211</v>
      </c>
      <c r="C6" s="41">
        <v>0.0061208012607303</v>
      </c>
      <c r="D6" s="41">
        <v>0.0045494062671743</v>
      </c>
      <c r="E6" s="41">
        <v>0.0073815989608299</v>
      </c>
      <c r="F6" s="41">
        <v>0.0010703165290055</v>
      </c>
      <c r="H6" s="41">
        <v>9303.0</v>
      </c>
      <c r="I6" s="41">
        <v>398.459005887</v>
      </c>
      <c r="J6" s="41">
        <v>0.0062746034084209</v>
      </c>
      <c r="K6" s="41">
        <v>0.0046996360067097</v>
      </c>
      <c r="L6" s="41">
        <v>0.00752273240707</v>
      </c>
      <c r="M6" s="41">
        <v>0.0011056476964472</v>
      </c>
      <c r="O6" s="41">
        <v>10567.0</v>
      </c>
      <c r="P6" s="41">
        <v>464.389129793</v>
      </c>
      <c r="Q6" s="41">
        <v>0.0073764397529883</v>
      </c>
      <c r="R6" s="41">
        <v>0.0054777051060951</v>
      </c>
      <c r="S6" s="41">
        <v>0.0089020746216539</v>
      </c>
      <c r="T6" s="41">
        <v>0.0012886699677333</v>
      </c>
    </row>
    <row r="7">
      <c r="A7" s="41">
        <v>6033.0</v>
      </c>
      <c r="B7" s="41">
        <v>205.045592946</v>
      </c>
      <c r="C7" s="41">
        <v>0.003231597139792</v>
      </c>
      <c r="D7" s="41">
        <v>0.0024183168790152</v>
      </c>
      <c r="E7" s="41">
        <v>0.0038770486571919</v>
      </c>
      <c r="F7" s="41">
        <v>5.689374224638E-4</v>
      </c>
      <c r="H7" s="41">
        <v>8226.0</v>
      </c>
      <c r="I7" s="41">
        <v>330.63692428</v>
      </c>
      <c r="J7" s="41">
        <v>0.005215127547007</v>
      </c>
      <c r="K7" s="41">
        <v>0.00389930276955</v>
      </c>
      <c r="L7" s="41">
        <v>0.006260910286502</v>
      </c>
      <c r="M7" s="41">
        <v>9.173482556499E-4</v>
      </c>
      <c r="O7" s="41">
        <v>9737.0</v>
      </c>
      <c r="P7" s="41">
        <v>430.653507491999</v>
      </c>
      <c r="Q7" s="41">
        <v>0.0068369096152569</v>
      </c>
      <c r="R7" s="41">
        <v>0.0050795825366201</v>
      </c>
      <c r="S7" s="41">
        <v>0.0082478093760199</v>
      </c>
      <c r="T7" s="41">
        <v>0.0011950305521833</v>
      </c>
    </row>
    <row r="8">
      <c r="A8" s="41">
        <v>6835.0</v>
      </c>
      <c r="B8" s="41">
        <v>268.267012243999</v>
      </c>
      <c r="C8" s="41">
        <v>0.0042473361611515</v>
      </c>
      <c r="D8" s="41">
        <v>0.0031644818385944</v>
      </c>
      <c r="E8" s="41">
        <v>0.0051128977014259</v>
      </c>
      <c r="F8" s="41">
        <v>7.444758820138E-4</v>
      </c>
      <c r="H8" s="41">
        <v>8182.0</v>
      </c>
      <c r="I8" s="41">
        <v>321.822869227</v>
      </c>
      <c r="J8" s="41">
        <v>0.0050785930803266</v>
      </c>
      <c r="K8" s="41">
        <v>0.0037955194981312</v>
      </c>
      <c r="L8" s="41">
        <v>0.006099098490386</v>
      </c>
      <c r="M8" s="41">
        <v>8.929276117416E-4</v>
      </c>
      <c r="O8" s="41">
        <v>9380.0</v>
      </c>
      <c r="P8" s="41">
        <v>398.879883062999</v>
      </c>
      <c r="Q8" s="41">
        <v>0.0063305620384225</v>
      </c>
      <c r="R8" s="41">
        <v>0.0047047906569402</v>
      </c>
      <c r="S8" s="41">
        <v>0.0076352369415179</v>
      </c>
      <c r="T8" s="41">
        <v>0.0011068514061416</v>
      </c>
    </row>
    <row r="9">
      <c r="A9" s="41">
        <v>6925.0</v>
      </c>
      <c r="B9" s="41">
        <v>266.31433292</v>
      </c>
      <c r="C9" s="41">
        <v>0.004214357815345</v>
      </c>
      <c r="D9" s="41">
        <v>0.0031409793101194</v>
      </c>
      <c r="E9" s="41">
        <v>0.005071861835264</v>
      </c>
      <c r="F9" s="41">
        <v>7.389642837527E-4</v>
      </c>
      <c r="H9" s="41">
        <v>8555.0</v>
      </c>
      <c r="I9" s="41">
        <v>345.756446020999</v>
      </c>
      <c r="J9" s="41">
        <v>0.0054463396019022</v>
      </c>
      <c r="K9" s="41">
        <v>0.0040773826865993</v>
      </c>
      <c r="L9" s="41">
        <v>0.0065320635589799</v>
      </c>
      <c r="M9" s="41">
        <v>9.592374195111E-4</v>
      </c>
      <c r="O9" s="41">
        <v>9496.0</v>
      </c>
      <c r="P9" s="41">
        <v>391.560106537</v>
      </c>
      <c r="Q9" s="41">
        <v>0.0062176951762079</v>
      </c>
      <c r="R9" s="41">
        <v>0.0046187087736229</v>
      </c>
      <c r="S9" s="41">
        <v>0.007501817668116</v>
      </c>
      <c r="T9" s="41">
        <v>0.0010866097042305</v>
      </c>
    </row>
    <row r="10">
      <c r="A10" s="41">
        <v>6469.0</v>
      </c>
      <c r="B10" s="41">
        <v>229.214737815</v>
      </c>
      <c r="C10" s="41">
        <v>0.0036234114811865</v>
      </c>
      <c r="D10" s="41">
        <v>0.0027035890755</v>
      </c>
      <c r="E10" s="41">
        <v>0.00435690348552</v>
      </c>
      <c r="F10" s="41">
        <v>6.360714210833E-4</v>
      </c>
      <c r="H10" s="41">
        <v>8148.0</v>
      </c>
      <c r="I10" s="41">
        <v>324.703337896</v>
      </c>
      <c r="J10" s="41">
        <v>0.0051076313188345</v>
      </c>
      <c r="K10" s="41">
        <v>0.0038289954394145</v>
      </c>
      <c r="L10" s="41">
        <v>0.0061194296177619</v>
      </c>
      <c r="M10" s="41">
        <v>9.008012718E-4</v>
      </c>
      <c r="O10" s="41">
        <v>9517.0</v>
      </c>
      <c r="P10" s="41">
        <v>401.630164035</v>
      </c>
      <c r="Q10" s="41">
        <v>0.0063744414360155</v>
      </c>
      <c r="R10" s="41">
        <v>0.0047372528773861</v>
      </c>
      <c r="S10" s="41">
        <v>0.0076883328173279</v>
      </c>
      <c r="T10" s="41">
        <v>0.0011144984544916</v>
      </c>
    </row>
    <row r="11">
      <c r="A11" s="41">
        <v>7494.0</v>
      </c>
      <c r="B11" s="41">
        <v>340.402240842</v>
      </c>
      <c r="C11" s="41">
        <v>0.0053938986714601</v>
      </c>
      <c r="D11" s="41">
        <v>0.0040145923471298</v>
      </c>
      <c r="E11" s="41">
        <v>0.006498220754128</v>
      </c>
      <c r="F11" s="41">
        <v>9.444796885416E-4</v>
      </c>
      <c r="H11" s="41">
        <v>7635.0</v>
      </c>
      <c r="I11" s="41">
        <v>282.701901681</v>
      </c>
      <c r="J11" s="41">
        <v>0.0044541805883458</v>
      </c>
      <c r="K11" s="41">
        <v>0.0033342124108715</v>
      </c>
      <c r="L11" s="41">
        <v>0.0053426209407599</v>
      </c>
      <c r="M11" s="41">
        <v>7.843846370083E-4</v>
      </c>
      <c r="O11" s="41">
        <v>8469.0</v>
      </c>
      <c r="P11" s="41">
        <v>341.721273199</v>
      </c>
      <c r="Q11" s="41">
        <v>0.005417365293481</v>
      </c>
      <c r="R11" s="41">
        <v>0.0040306522424548</v>
      </c>
      <c r="S11" s="41">
        <v>0.006528227167022</v>
      </c>
      <c r="T11" s="41">
        <v>9.482593221277E-4</v>
      </c>
    </row>
    <row r="12">
      <c r="A12" s="41">
        <v>6083.0</v>
      </c>
      <c r="B12" s="41">
        <v>213.92568936</v>
      </c>
      <c r="C12" s="41">
        <v>0.0033796721052048</v>
      </c>
      <c r="D12" s="41">
        <v>0.002523242292577</v>
      </c>
      <c r="E12" s="41">
        <v>0.0040619843606959</v>
      </c>
      <c r="F12" s="41">
        <v>5.936054311583E-4</v>
      </c>
      <c r="H12" s="41">
        <v>7842.0</v>
      </c>
      <c r="I12" s="41">
        <v>269.094538435999</v>
      </c>
      <c r="J12" s="41">
        <v>0.0042590954624671</v>
      </c>
      <c r="K12" s="41">
        <v>0.0031739285648756</v>
      </c>
      <c r="L12" s="41">
        <v>0.0051262124343</v>
      </c>
      <c r="M12" s="41">
        <v>7.466926003111E-4</v>
      </c>
      <c r="O12" s="41">
        <v>9305.0</v>
      </c>
      <c r="P12" s="41">
        <v>404.125244071</v>
      </c>
      <c r="Q12" s="41">
        <v>0.0064159173934808</v>
      </c>
      <c r="R12" s="41">
        <v>0.0047667510536236</v>
      </c>
      <c r="S12" s="41">
        <v>0.0077400059142219</v>
      </c>
      <c r="T12" s="41">
        <v>0.0011214271286083</v>
      </c>
    </row>
    <row r="13">
      <c r="A13" s="41">
        <v>7880.0</v>
      </c>
      <c r="B13" s="41">
        <v>354.159248758</v>
      </c>
      <c r="C13" s="41">
        <v>0.0056111667139113</v>
      </c>
      <c r="D13" s="41">
        <v>0.0041770413578805</v>
      </c>
      <c r="E13" s="41">
        <v>0.0067590584627979</v>
      </c>
      <c r="F13" s="41">
        <v>9.826965545333E-4</v>
      </c>
      <c r="H13" s="41">
        <v>9141.0</v>
      </c>
      <c r="I13" s="41">
        <v>393.358523703999</v>
      </c>
      <c r="J13" s="41">
        <v>0.0062027102820253</v>
      </c>
      <c r="K13" s="41">
        <v>0.0046389206163951</v>
      </c>
      <c r="L13" s="41">
        <v>0.0074450517893699</v>
      </c>
      <c r="M13" s="41">
        <v>0.0010913340135944</v>
      </c>
      <c r="O13" s="41">
        <v>10951.0</v>
      </c>
      <c r="P13" s="41">
        <v>522.304021126</v>
      </c>
      <c r="Q13" s="41">
        <v>0.0083009963875796</v>
      </c>
      <c r="R13" s="41">
        <v>0.0061606053687708</v>
      </c>
      <c r="S13" s="41">
        <v>0.01002235940677</v>
      </c>
      <c r="T13" s="41">
        <v>0.0014493549717305</v>
      </c>
    </row>
    <row r="14">
      <c r="A14" s="41">
        <v>6415.0</v>
      </c>
      <c r="B14" s="41">
        <v>248.071073063</v>
      </c>
      <c r="C14" s="41">
        <v>0.0039239912708441</v>
      </c>
      <c r="D14" s="41">
        <v>0.0029259660956402</v>
      </c>
      <c r="E14" s="41">
        <v>0.00472068710988</v>
      </c>
      <c r="F14" s="41">
        <v>6.883785837416E-4</v>
      </c>
      <c r="H14" s="41">
        <v>8946.0</v>
      </c>
      <c r="I14" s="41">
        <v>396.85864302</v>
      </c>
      <c r="J14" s="41">
        <v>0.0062551074326903</v>
      </c>
      <c r="K14" s="41">
        <v>0.004679802112093</v>
      </c>
      <c r="L14" s="41">
        <v>0.007505824615766</v>
      </c>
      <c r="M14" s="41">
        <v>0.0011009775732527</v>
      </c>
      <c r="O14" s="41">
        <v>9437.0</v>
      </c>
      <c r="P14" s="41">
        <v>415.200247746999</v>
      </c>
      <c r="Q14" s="41">
        <v>0.0065912311224356</v>
      </c>
      <c r="R14" s="41">
        <v>0.0048970657124215</v>
      </c>
      <c r="S14" s="41">
        <v>0.0079514013611159</v>
      </c>
      <c r="T14" s="41">
        <v>0.0011521045750472</v>
      </c>
    </row>
    <row r="15">
      <c r="A15" s="41">
        <v>7641.0</v>
      </c>
      <c r="B15" s="41">
        <v>310.203347671</v>
      </c>
      <c r="C15" s="41">
        <v>0.0049164412557484</v>
      </c>
      <c r="D15" s="41">
        <v>0.0036585889489909</v>
      </c>
      <c r="E15" s="41">
        <v>0.005923828627948</v>
      </c>
      <c r="F15" s="41">
        <v>8.606979470888E-4</v>
      </c>
      <c r="H15" s="41">
        <v>9033.0</v>
      </c>
      <c r="I15" s="41">
        <v>344.802478875999</v>
      </c>
      <c r="J15" s="41">
        <v>0.0054456701103078</v>
      </c>
      <c r="K15" s="41">
        <v>0.0040658916490118</v>
      </c>
      <c r="L15" s="41">
        <v>0.006544816069182</v>
      </c>
      <c r="M15" s="41">
        <v>9.565538658222E-4</v>
      </c>
      <c r="O15" s="41">
        <v>9483.0</v>
      </c>
      <c r="P15" s="41">
        <v>372.710616449</v>
      </c>
      <c r="Q15" s="41">
        <v>0.0059143180467834</v>
      </c>
      <c r="R15" s="41">
        <v>0.0043959542377882</v>
      </c>
      <c r="S15" s="41">
        <v>0.007132537094914</v>
      </c>
      <c r="T15" s="41">
        <v>0.0010342351183027</v>
      </c>
    </row>
    <row r="16">
      <c r="A16" s="41">
        <v>6401.0</v>
      </c>
      <c r="B16" s="41">
        <v>226.735248226999</v>
      </c>
      <c r="C16" s="41">
        <v>0.0035854623390051</v>
      </c>
      <c r="D16" s="41">
        <v>0.0026743957261916</v>
      </c>
      <c r="E16" s="41">
        <v>0.0043123701165599</v>
      </c>
      <c r="F16" s="41">
        <v>6.291895740861E-4</v>
      </c>
      <c r="H16" s="41">
        <v>8737.0</v>
      </c>
      <c r="I16" s="41">
        <v>360.227450516999</v>
      </c>
      <c r="J16" s="41">
        <v>0.0056783237536433</v>
      </c>
      <c r="K16" s="41">
        <v>0.0042486993814367</v>
      </c>
      <c r="L16" s="41">
        <v>0.0068132185061259</v>
      </c>
      <c r="M16" s="41">
        <v>9.995281579472E-4</v>
      </c>
      <c r="O16" s="41">
        <v>9733.0</v>
      </c>
      <c r="P16" s="41">
        <v>420.417981461999</v>
      </c>
      <c r="Q16" s="41">
        <v>0.0066712481040783</v>
      </c>
      <c r="R16" s="41">
        <v>0.0049584302075145</v>
      </c>
      <c r="S16" s="41">
        <v>0.0080455733808979</v>
      </c>
      <c r="T16" s="41">
        <v>0.0011665338015916</v>
      </c>
    </row>
    <row r="17">
      <c r="A17" s="41">
        <v>8135.0</v>
      </c>
      <c r="B17" s="41">
        <v>363.757785292</v>
      </c>
      <c r="C17" s="41">
        <v>0.0057707580966827</v>
      </c>
      <c r="D17" s="41">
        <v>0.0042902260635784</v>
      </c>
      <c r="E17" s="41">
        <v>0.0069582425110339</v>
      </c>
      <c r="F17" s="41">
        <v>0.0010093191889277</v>
      </c>
      <c r="H17" s="41">
        <v>8830.0</v>
      </c>
      <c r="I17" s="41">
        <v>341.049462222</v>
      </c>
      <c r="J17" s="41">
        <v>0.0053884255829548</v>
      </c>
      <c r="K17" s="41">
        <v>0.0040218905512903</v>
      </c>
      <c r="L17" s="41">
        <v>0.0064775757376119</v>
      </c>
      <c r="M17" s="41">
        <v>9.462009993277E-4</v>
      </c>
      <c r="O17" s="41">
        <v>10951.0</v>
      </c>
      <c r="P17" s="41">
        <v>506.027501782999</v>
      </c>
      <c r="Q17" s="41">
        <v>0.0080351194642888</v>
      </c>
      <c r="R17" s="41">
        <v>0.0059681060527367</v>
      </c>
      <c r="S17" s="41">
        <v>0.009695421367442</v>
      </c>
      <c r="T17" s="41">
        <v>0.0014040376029611</v>
      </c>
    </row>
    <row r="18">
      <c r="A18" s="41">
        <v>6608.0</v>
      </c>
      <c r="B18" s="41">
        <v>227.897949589999</v>
      </c>
      <c r="C18" s="41">
        <v>0.0036036326353058</v>
      </c>
      <c r="D18" s="41">
        <v>0.0026878844435659</v>
      </c>
      <c r="E18" s="41">
        <v>0.004334322634122</v>
      </c>
      <c r="F18" s="41">
        <v>6.323442449083E-4</v>
      </c>
      <c r="H18" s="41">
        <v>8996.0</v>
      </c>
      <c r="I18" s="41">
        <v>365.67401213</v>
      </c>
      <c r="J18" s="41">
        <v>0.0057672716120863</v>
      </c>
      <c r="K18" s="41">
        <v>0.0043127329169048</v>
      </c>
      <c r="L18" s="41">
        <v>0.006923026093972</v>
      </c>
      <c r="M18" s="41">
        <v>0.0010146230379361</v>
      </c>
      <c r="O18" s="41">
        <v>9988.0</v>
      </c>
      <c r="P18" s="41">
        <v>427.683036424</v>
      </c>
      <c r="Q18" s="41">
        <v>0.0067872002836127</v>
      </c>
      <c r="R18" s="41">
        <v>0.0050446788402312</v>
      </c>
      <c r="S18" s="41">
        <v>0.008185319603806</v>
      </c>
      <c r="T18" s="41">
        <v>0.0011868353915361</v>
      </c>
    </row>
    <row r="19">
      <c r="A19" s="41">
        <v>8093.0</v>
      </c>
      <c r="B19" s="41">
        <v>374.698711593</v>
      </c>
      <c r="C19" s="41">
        <v>0.0059451454311837</v>
      </c>
      <c r="D19" s="41">
        <v>0.0044195816762187</v>
      </c>
      <c r="E19" s="41">
        <v>0.007168867123978</v>
      </c>
      <c r="F19" s="41">
        <v>0.0010397587416722</v>
      </c>
      <c r="H19" s="41">
        <v>8525.0</v>
      </c>
      <c r="I19" s="41">
        <v>352.805392565</v>
      </c>
      <c r="J19" s="41">
        <v>0.0055620465170294</v>
      </c>
      <c r="K19" s="41">
        <v>0.0041602350608979</v>
      </c>
      <c r="L19" s="41">
        <v>0.0066754978403939</v>
      </c>
      <c r="M19" s="41">
        <v>9.787262381194E-4</v>
      </c>
      <c r="O19" s="41">
        <v>9651.0</v>
      </c>
      <c r="P19" s="41">
        <v>419.483148380999</v>
      </c>
      <c r="Q19" s="41">
        <v>0.0066559581802657</v>
      </c>
      <c r="R19" s="41">
        <v>0.0049479145220714</v>
      </c>
      <c r="S19" s="41">
        <v>0.008026086420864</v>
      </c>
      <c r="T19" s="41">
        <v>0.0011640588006527</v>
      </c>
    </row>
    <row r="20">
      <c r="A20" s="41">
        <v>7672.0</v>
      </c>
      <c r="B20" s="41">
        <v>339.780609496</v>
      </c>
      <c r="C20" s="41">
        <v>0.0053885876567256</v>
      </c>
      <c r="D20" s="41">
        <v>0.0040079182880291</v>
      </c>
      <c r="E20" s="41">
        <v>0.0064951696405759</v>
      </c>
      <c r="F20" s="41">
        <v>9.429236239055E-4</v>
      </c>
      <c r="H20" s="41">
        <v>8413.0</v>
      </c>
      <c r="I20" s="41">
        <v>339.521139786</v>
      </c>
      <c r="J20" s="41">
        <v>0.0053600334133451</v>
      </c>
      <c r="K20" s="41">
        <v>0.0040041901206076</v>
      </c>
      <c r="L20" s="41">
        <v>0.006439129317966</v>
      </c>
      <c r="M20" s="41">
        <v>9.42039449375E-4</v>
      </c>
      <c r="O20" s="41">
        <v>10342.0</v>
      </c>
      <c r="P20" s="41">
        <v>481.132915830999</v>
      </c>
      <c r="Q20" s="41">
        <v>0.0076388707227982</v>
      </c>
      <c r="R20" s="41">
        <v>0.0056747917764805</v>
      </c>
      <c r="S20" s="41">
        <v>0.0092160776506339</v>
      </c>
      <c r="T20" s="41">
        <v>0.0013350153707611</v>
      </c>
    </row>
    <row r="21">
      <c r="A21" s="41">
        <v>7213.0</v>
      </c>
      <c r="B21" s="41">
        <v>281.212163541999</v>
      </c>
      <c r="C21" s="41">
        <v>0.0044506126508019</v>
      </c>
      <c r="D21" s="41">
        <v>0.0033172395787367</v>
      </c>
      <c r="E21" s="41">
        <v>0.005355979840336</v>
      </c>
      <c r="F21" s="41">
        <v>7.804198389333E-4</v>
      </c>
      <c r="H21" s="41">
        <v>9968.0</v>
      </c>
      <c r="I21" s="41">
        <v>460.75454256</v>
      </c>
      <c r="J21" s="41">
        <v>0.0072704339956214</v>
      </c>
      <c r="K21" s="41">
        <v>0.0054333987780958</v>
      </c>
      <c r="L21" s="41">
        <v>0.00873166670755</v>
      </c>
      <c r="M21" s="41">
        <v>0.0012782151672694</v>
      </c>
      <c r="O21" s="41">
        <v>10743.0</v>
      </c>
      <c r="P21" s="41">
        <v>491.951979912999</v>
      </c>
      <c r="Q21" s="41">
        <v>0.0078071744351281</v>
      </c>
      <c r="R21" s="41">
        <v>0.0058023100090866</v>
      </c>
      <c r="S21" s="41">
        <v>0.009416017532808</v>
      </c>
      <c r="T21" s="41">
        <v>0.0013650546854333</v>
      </c>
    </row>
    <row r="22">
      <c r="A22" s="41">
        <v>7242.0</v>
      </c>
      <c r="B22" s="41">
        <v>303.661515632</v>
      </c>
      <c r="C22" s="41">
        <v>0.0048103147987813</v>
      </c>
      <c r="D22" s="41">
        <v>0.0035814917134319</v>
      </c>
      <c r="E22" s="41">
        <v>0.005793621579338</v>
      </c>
      <c r="F22" s="41">
        <v>8.425768081499E-4</v>
      </c>
      <c r="H22" s="41">
        <v>8329.0</v>
      </c>
      <c r="I22" s="41">
        <v>343.378165047</v>
      </c>
      <c r="J22" s="41">
        <v>0.0054126588510442</v>
      </c>
      <c r="K22" s="41">
        <v>0.0040492073039138</v>
      </c>
      <c r="L22" s="41">
        <v>0.0064954718630399</v>
      </c>
      <c r="M22" s="41">
        <v>9.524625120027E-4</v>
      </c>
      <c r="O22" s="41">
        <v>10314.0</v>
      </c>
      <c r="P22" s="41">
        <v>480.209456333999</v>
      </c>
      <c r="Q22" s="41">
        <v>0.0076220631674072</v>
      </c>
      <c r="R22" s="41">
        <v>0.0056634776586605</v>
      </c>
      <c r="S22" s="41">
        <v>0.0091943526332539</v>
      </c>
      <c r="T22" s="41">
        <v>0.0013323532266222</v>
      </c>
    </row>
    <row r="23">
      <c r="A23" s="41">
        <v>7590.0</v>
      </c>
      <c r="B23" s="41">
        <v>341.999276629</v>
      </c>
      <c r="C23" s="41">
        <v>0.0054212507538365</v>
      </c>
      <c r="D23" s="41">
        <v>0.0040338214479757</v>
      </c>
      <c r="E23" s="41">
        <v>0.006532559670488</v>
      </c>
      <c r="F23" s="41">
        <v>9.490108006083E-4</v>
      </c>
      <c r="H23" s="41">
        <v>8253.0</v>
      </c>
      <c r="I23" s="41">
        <v>343.105416383999</v>
      </c>
      <c r="J23" s="41">
        <v>0.0053956832194987</v>
      </c>
      <c r="K23" s="41">
        <v>0.004046010026175</v>
      </c>
      <c r="L23" s="41">
        <v>0.006463229059468</v>
      </c>
      <c r="M23" s="41">
        <v>9.518442999055E-4</v>
      </c>
      <c r="O23" s="41">
        <v>9362.0</v>
      </c>
      <c r="P23" s="41">
        <v>404.209317920998</v>
      </c>
      <c r="Q23" s="41">
        <v>0.0064092205372404</v>
      </c>
      <c r="R23" s="41">
        <v>0.0047674287857999</v>
      </c>
      <c r="S23" s="41">
        <v>0.0077249342354979</v>
      </c>
      <c r="T23" s="41">
        <v>0.0011215961429888</v>
      </c>
    </row>
    <row r="24">
      <c r="A24" s="41">
        <v>6057.0</v>
      </c>
      <c r="B24" s="41">
        <v>210.468476396999</v>
      </c>
      <c r="C24" s="41">
        <v>0.0033236795105346</v>
      </c>
      <c r="D24" s="41">
        <v>0.0024822584408708</v>
      </c>
      <c r="E24" s="41">
        <v>0.0039936673615979</v>
      </c>
      <c r="F24" s="41">
        <v>5.839712425277E-4</v>
      </c>
      <c r="H24" s="41">
        <v>8116.0</v>
      </c>
      <c r="I24" s="41">
        <v>322.467721975998</v>
      </c>
      <c r="J24" s="41">
        <v>0.0050810371292362</v>
      </c>
      <c r="K24" s="41">
        <v>0.0038023368981506</v>
      </c>
      <c r="L24" s="41">
        <v>0.0060958795989219</v>
      </c>
      <c r="M24" s="41">
        <v>8.945205585055E-4</v>
      </c>
      <c r="O24" s="41">
        <v>9079.0</v>
      </c>
      <c r="P24" s="41">
        <v>383.970533427</v>
      </c>
      <c r="Q24" s="41">
        <v>0.0060894083748402</v>
      </c>
      <c r="R24" s="41">
        <v>0.0045284353427986</v>
      </c>
      <c r="S24" s="41">
        <v>0.007340825594878</v>
      </c>
      <c r="T24" s="41">
        <v>0.0010653785349472</v>
      </c>
    </row>
    <row r="25">
      <c r="A25" s="41">
        <v>8675.0</v>
      </c>
      <c r="B25" s="41">
        <v>422.915958343</v>
      </c>
      <c r="C25" s="41">
        <v>0.0067066223813552</v>
      </c>
      <c r="D25" s="41">
        <v>0.0049879180179312</v>
      </c>
      <c r="E25" s="41">
        <v>0.008084328967458</v>
      </c>
      <c r="F25" s="41">
        <v>0.0011734296455749</v>
      </c>
      <c r="H25" s="41">
        <v>9207.0</v>
      </c>
      <c r="I25" s="41">
        <v>400.540698005999</v>
      </c>
      <c r="J25" s="41">
        <v>0.0063122288983363</v>
      </c>
      <c r="K25" s="41">
        <v>0.0047231819651083</v>
      </c>
      <c r="L25" s="41">
        <v>0.0075735907810899</v>
      </c>
      <c r="M25" s="41">
        <v>0.0011111644527583</v>
      </c>
      <c r="O25" s="41">
        <v>9933.0</v>
      </c>
      <c r="P25" s="41">
        <v>437.620039523999</v>
      </c>
      <c r="Q25" s="41">
        <v>0.0069432054781689</v>
      </c>
      <c r="R25" s="41">
        <v>0.0051616239266507</v>
      </c>
      <c r="S25" s="41">
        <v>0.0083722386422299</v>
      </c>
      <c r="T25" s="41">
        <v>0.0012143451577555</v>
      </c>
    </row>
    <row r="26">
      <c r="A26" s="41">
        <v>7561.0</v>
      </c>
      <c r="B26" s="41">
        <v>314.607466886</v>
      </c>
      <c r="C26" s="41">
        <v>0.004986083245453</v>
      </c>
      <c r="D26" s="41">
        <v>0.003710167776584</v>
      </c>
      <c r="E26" s="41">
        <v>0.00600802841753</v>
      </c>
      <c r="F26" s="41">
        <v>8.728473343333E-4</v>
      </c>
      <c r="H26" s="41">
        <v>8764.0</v>
      </c>
      <c r="I26" s="41">
        <v>363.42097676</v>
      </c>
      <c r="J26" s="41">
        <v>0.0057159163881712</v>
      </c>
      <c r="K26" s="41">
        <v>0.0042853722342625</v>
      </c>
      <c r="L26" s="41">
        <v>0.0068477643670959</v>
      </c>
      <c r="M26" s="41">
        <v>0.0010081607440666</v>
      </c>
      <c r="O26" s="41">
        <v>9838.0</v>
      </c>
      <c r="P26" s="41">
        <v>418.950415712</v>
      </c>
      <c r="Q26" s="41">
        <v>0.0066457179745567</v>
      </c>
      <c r="R26" s="41">
        <v>0.0049408875731458</v>
      </c>
      <c r="S26" s="41">
        <v>0.0080130686326719</v>
      </c>
      <c r="T26" s="41">
        <v>0.0011623521030138</v>
      </c>
    </row>
    <row r="27">
      <c r="A27" s="41">
        <v>7346.0</v>
      </c>
      <c r="B27" s="41">
        <v>294.319791046</v>
      </c>
      <c r="C27" s="41">
        <v>0.0046572410185834</v>
      </c>
      <c r="D27" s="41">
        <v>0.003471191336109</v>
      </c>
      <c r="E27" s="41">
        <v>0.0056047072615399</v>
      </c>
      <c r="F27" s="41">
        <v>8.166442906527E-4</v>
      </c>
      <c r="H27" s="41">
        <v>8637.0</v>
      </c>
      <c r="I27" s="41">
        <v>340.826442830999</v>
      </c>
      <c r="J27" s="41">
        <v>0.0053757525653176</v>
      </c>
      <c r="K27" s="41">
        <v>0.0040191642110694</v>
      </c>
      <c r="L27" s="41">
        <v>0.006454077941036</v>
      </c>
      <c r="M27" s="41">
        <v>9.455061147555E-4</v>
      </c>
      <c r="O27" s="41">
        <v>9499.0</v>
      </c>
      <c r="P27" s="41">
        <v>392.767552002998</v>
      </c>
      <c r="Q27" s="41">
        <v>0.0062242143974356</v>
      </c>
      <c r="R27" s="41">
        <v>0.0046323696042978</v>
      </c>
      <c r="S27" s="41">
        <v>0.0074988279435019</v>
      </c>
      <c r="T27" s="41">
        <v>0.0010897862120972</v>
      </c>
    </row>
    <row r="28">
      <c r="A28" s="41">
        <v>7560.0</v>
      </c>
      <c r="B28" s="41">
        <v>344.155636217</v>
      </c>
      <c r="C28" s="41">
        <v>0.0054558254624553</v>
      </c>
      <c r="D28" s="41">
        <v>0.0040593416212499</v>
      </c>
      <c r="E28" s="41">
        <v>0.0065744822040259</v>
      </c>
      <c r="F28" s="41">
        <v>9.550089542749E-4</v>
      </c>
      <c r="H28" s="41">
        <v>8523.0</v>
      </c>
      <c r="I28" s="41">
        <v>363.885752457999</v>
      </c>
      <c r="J28" s="43">
        <v>4.79713059367053E-5</v>
      </c>
      <c r="K28" s="41">
        <v>0.0042910402609882</v>
      </c>
      <c r="L28" s="41">
        <v>0.0068830782842359</v>
      </c>
      <c r="M28" s="41">
        <v>0.0010095188490805</v>
      </c>
      <c r="O28" s="41">
        <v>9120.0</v>
      </c>
      <c r="P28" s="41">
        <v>395.325406833</v>
      </c>
      <c r="Q28" s="41">
        <v>0.0062707374791892</v>
      </c>
      <c r="R28" s="41">
        <v>0.004662463414411</v>
      </c>
      <c r="S28" s="41">
        <v>0.007560449937244</v>
      </c>
      <c r="T28" s="41">
        <v>0.0010968910575722</v>
      </c>
    </row>
    <row r="29">
      <c r="A29" s="41">
        <v>5952.0</v>
      </c>
      <c r="B29" s="41">
        <v>212.099356730999</v>
      </c>
      <c r="C29" s="41">
        <v>0.0033501719850621</v>
      </c>
      <c r="D29" s="41">
        <v>0.0025011977988048</v>
      </c>
      <c r="E29" s="41">
        <v>0.0040265462767899</v>
      </c>
      <c r="F29" s="41">
        <v>5.884261876944E-4</v>
      </c>
      <c r="H29" s="41">
        <v>8023.0</v>
      </c>
      <c r="I29" s="41">
        <v>331.632298361</v>
      </c>
      <c r="J29" s="41">
        <v>0.0052208578343991</v>
      </c>
      <c r="K29" s="41">
        <v>0.0039102878015353</v>
      </c>
      <c r="L29" s="41">
        <v>0.00625950917427</v>
      </c>
      <c r="M29" s="41">
        <v>9.199361589916E-4</v>
      </c>
      <c r="O29" s="41">
        <v>8641.0</v>
      </c>
      <c r="P29" s="41">
        <v>361.338229731</v>
      </c>
      <c r="Q29" s="41">
        <v>0.0057266730635975</v>
      </c>
      <c r="R29" s="41">
        <v>0.0042617889474055</v>
      </c>
      <c r="S29" s="41">
        <v>0.006899738297564</v>
      </c>
      <c r="T29" s="41">
        <v>0.0010026185793222</v>
      </c>
    </row>
    <row r="30">
      <c r="A30" s="41">
        <v>7558.0</v>
      </c>
      <c r="B30" s="41">
        <v>339.125237314001</v>
      </c>
      <c r="C30" s="41">
        <v>0.0053766343212596</v>
      </c>
      <c r="D30" s="41">
        <v>0.0039996232881958</v>
      </c>
      <c r="E30" s="41">
        <v>0.006480029350686</v>
      </c>
      <c r="F30" s="41">
        <v>9.409685841861E-4</v>
      </c>
      <c r="H30" s="41">
        <v>8785.0</v>
      </c>
      <c r="I30" s="41">
        <v>360.879059271999</v>
      </c>
      <c r="J30" s="41">
        <v>0.0057055302603948</v>
      </c>
      <c r="K30" s="41">
        <v>0.0042558990148631</v>
      </c>
      <c r="L30" s="41">
        <v>0.0068621071563479</v>
      </c>
      <c r="M30" s="41">
        <v>0.0010012297833472</v>
      </c>
      <c r="O30" s="41">
        <v>9478.0</v>
      </c>
      <c r="P30" s="41">
        <v>418.667784842</v>
      </c>
      <c r="Q30" s="41">
        <v>0.0066401338781867</v>
      </c>
      <c r="R30" s="41">
        <v>0.0049380429710555</v>
      </c>
      <c r="S30" s="41">
        <v>0.008004652792606</v>
      </c>
      <c r="T30" s="41">
        <v>0.0011617512494777</v>
      </c>
    </row>
    <row r="31">
      <c r="A31" s="41">
        <v>7898.0</v>
      </c>
      <c r="B31" s="41">
        <v>357.081251150999</v>
      </c>
      <c r="C31" s="41">
        <v>0.0056617700924713</v>
      </c>
      <c r="D31" s="41">
        <v>0.0042112136084089</v>
      </c>
      <c r="E31" s="41">
        <v>0.0068243410150239</v>
      </c>
      <c r="F31" s="41">
        <v>9.907294447499E-4</v>
      </c>
      <c r="H31" s="41">
        <v>8209.0</v>
      </c>
      <c r="I31" s="41">
        <v>319.601224849999</v>
      </c>
      <c r="J31" s="41">
        <v>0.0050364061012654</v>
      </c>
      <c r="K31" s="41">
        <v>0.0037693171581478</v>
      </c>
      <c r="L31" s="41">
        <v>0.006041842611248</v>
      </c>
      <c r="M31" s="41">
        <v>8.867755877971E-4</v>
      </c>
      <c r="O31" s="41">
        <v>9388.0</v>
      </c>
      <c r="P31" s="41">
        <v>396.754406848</v>
      </c>
      <c r="Q31" s="41">
        <v>0.0062940039372889</v>
      </c>
      <c r="R31" s="41">
        <v>0.0046790853617881</v>
      </c>
      <c r="S31" s="41">
        <v>0.0075893352381299</v>
      </c>
      <c r="T31" s="41">
        <v>0.0011008045787499</v>
      </c>
    </row>
    <row r="32">
      <c r="A32" s="41">
        <v>6316.0</v>
      </c>
      <c r="B32" s="41">
        <v>225.708025626001</v>
      </c>
      <c r="C32" s="41">
        <v>0.003567088979871</v>
      </c>
      <c r="D32" s="41">
        <v>0.0026619620079097</v>
      </c>
      <c r="E32" s="41">
        <v>0.0042887378754319</v>
      </c>
      <c r="F32" s="41">
        <v>6.262282977333E-4</v>
      </c>
      <c r="H32" s="41">
        <v>8211.0</v>
      </c>
      <c r="I32" s="41">
        <v>314.954386843999</v>
      </c>
      <c r="J32" s="41">
        <v>0.0049635968867803</v>
      </c>
      <c r="K32" s="41">
        <v>0.0037145753518743</v>
      </c>
      <c r="L32" s="41">
        <v>0.005954823374966</v>
      </c>
      <c r="M32" s="41">
        <v>8.738810576472E-4</v>
      </c>
      <c r="O32" s="41">
        <v>8996.0</v>
      </c>
      <c r="P32" s="41">
        <v>369.024830215999</v>
      </c>
      <c r="Q32" s="41">
        <v>0.0058488448082908</v>
      </c>
      <c r="R32" s="41">
        <v>0.0043516680869118</v>
      </c>
      <c r="S32" s="41">
        <v>0.0070482042496699</v>
      </c>
      <c r="T32" s="41">
        <v>0.0010237810414944</v>
      </c>
    </row>
    <row r="33">
      <c r="A33" s="41">
        <v>8339.0</v>
      </c>
      <c r="B33" s="41">
        <v>387.858961435</v>
      </c>
      <c r="C33" s="41">
        <v>0.0061531433501334</v>
      </c>
      <c r="D33" s="41">
        <v>0.0045745060255611</v>
      </c>
      <c r="E33" s="41">
        <v>0.007419345379916</v>
      </c>
      <c r="F33" s="41">
        <v>0.0010761688589194</v>
      </c>
      <c r="H33" s="41">
        <v>9180.0</v>
      </c>
      <c r="I33" s="41">
        <v>391.728916384998</v>
      </c>
      <c r="J33" s="41">
        <v>0.0061788432163577</v>
      </c>
      <c r="K33" s="41">
        <v>0.0046196874056458</v>
      </c>
      <c r="L33" s="41">
        <v>0.007418124267828</v>
      </c>
      <c r="M33" s="41">
        <v>0.0010867982133694</v>
      </c>
      <c r="O33" s="41">
        <v>9818.0</v>
      </c>
      <c r="P33" s="41">
        <v>423.089582857001</v>
      </c>
      <c r="Q33" s="41">
        <v>0.0067125796357297</v>
      </c>
      <c r="R33" s="41">
        <v>0.0049899321487479</v>
      </c>
      <c r="S33" s="41">
        <v>0.008094510920048</v>
      </c>
      <c r="T33" s="41">
        <v>0.0011738874905694</v>
      </c>
    </row>
    <row r="34">
      <c r="A34" s="41">
        <v>8077.0</v>
      </c>
      <c r="B34" s="41">
        <v>350.699396293001</v>
      </c>
      <c r="C34" s="41">
        <v>0.0055626317301189</v>
      </c>
      <c r="D34" s="41">
        <v>0.0041359282495903</v>
      </c>
      <c r="E34" s="41">
        <v>0.006706775365416</v>
      </c>
      <c r="F34" s="41">
        <v>9.729985877472E-4</v>
      </c>
      <c r="H34" s="41">
        <v>8551.0</v>
      </c>
      <c r="I34" s="41">
        <v>344.264500463999</v>
      </c>
      <c r="J34" s="41">
        <v>0.0054263495435791</v>
      </c>
      <c r="K34" s="41">
        <v>0.0040601487051513</v>
      </c>
      <c r="L34" s="41">
        <v>0.0065108743753619</v>
      </c>
      <c r="M34" s="41">
        <v>9.551992843111E-4</v>
      </c>
      <c r="O34" s="41">
        <v>10778.0</v>
      </c>
      <c r="P34" s="41">
        <v>492.765487725999</v>
      </c>
      <c r="Q34" s="41">
        <v>0.0078236890845754</v>
      </c>
      <c r="R34" s="41">
        <v>0.0058114489787131</v>
      </c>
      <c r="S34" s="41">
        <v>0.009439786162934</v>
      </c>
      <c r="T34" s="41">
        <v>0.0013672261973888</v>
      </c>
    </row>
    <row r="35">
      <c r="A35" s="41">
        <v>9318.0</v>
      </c>
      <c r="B35" s="41">
        <v>464.049275898998</v>
      </c>
      <c r="C35" s="41">
        <v>0.007370920244663</v>
      </c>
      <c r="D35" s="41">
        <v>0.0054728938716368</v>
      </c>
      <c r="E35" s="41">
        <v>0.0088962476725479</v>
      </c>
      <c r="F35" s="41">
        <v>0.0012875840484194</v>
      </c>
      <c r="H35" s="41">
        <v>9723.0</v>
      </c>
      <c r="I35" s="41">
        <v>406.88708745</v>
      </c>
      <c r="J35" s="41">
        <v>0.0064492142140549</v>
      </c>
      <c r="K35" s="41">
        <v>0.004797584223227</v>
      </c>
      <c r="L35" s="41">
        <v>0.007772617884756</v>
      </c>
      <c r="M35" s="41">
        <v>0.0011287084602722</v>
      </c>
      <c r="O35" s="41">
        <v>9720.0</v>
      </c>
      <c r="P35" s="41">
        <v>410.434376572999</v>
      </c>
      <c r="Q35" s="41">
        <v>0.0065114358255496</v>
      </c>
      <c r="R35" s="41">
        <v>0.0048406186625332</v>
      </c>
      <c r="S35" s="41">
        <v>0.0078516307257439</v>
      </c>
      <c r="T35" s="41">
        <v>0.0011388274041083</v>
      </c>
    </row>
    <row r="36">
      <c r="A36" s="41">
        <v>6608.0</v>
      </c>
      <c r="B36" s="41">
        <v>252.482888157999</v>
      </c>
      <c r="C36" s="41">
        <v>0.0039976790377318</v>
      </c>
      <c r="D36" s="41">
        <v>0.002978094760927</v>
      </c>
      <c r="E36" s="41">
        <v>0.00481281079469</v>
      </c>
      <c r="F36" s="41">
        <v>7.006479578527E-4</v>
      </c>
      <c r="H36" s="41">
        <v>8146.0</v>
      </c>
      <c r="I36" s="41">
        <v>279.122650588</v>
      </c>
      <c r="J36" s="41">
        <v>0.0044217785324515</v>
      </c>
      <c r="K36" s="41">
        <v>0.0032924601846416</v>
      </c>
      <c r="L36" s="41">
        <v>0.005325333149152</v>
      </c>
      <c r="M36" s="41">
        <v>7.745987713833E-4</v>
      </c>
      <c r="O36" s="41">
        <v>8826.0</v>
      </c>
      <c r="P36" s="41">
        <v>364.497456891</v>
      </c>
      <c r="Q36" s="41">
        <v>0.0057792321794041</v>
      </c>
      <c r="R36" s="41">
        <v>0.0042986110445534</v>
      </c>
      <c r="S36" s="41">
        <v>0.0069658900171519</v>
      </c>
      <c r="T36" s="41">
        <v>0.0010112866778777</v>
      </c>
    </row>
    <row r="37">
      <c r="A37" s="41">
        <v>7532.0</v>
      </c>
      <c r="B37" s="41">
        <v>304.626003456</v>
      </c>
      <c r="C37" s="41">
        <v>0.0048283367662987</v>
      </c>
      <c r="D37" s="41">
        <v>0.0035926497233687</v>
      </c>
      <c r="E37" s="41">
        <v>0.005818122154494</v>
      </c>
      <c r="F37" s="41">
        <v>8.4519906055E-4</v>
      </c>
      <c r="H37" s="41">
        <v>9070.0</v>
      </c>
      <c r="I37" s="41">
        <v>318.554323364</v>
      </c>
      <c r="J37" s="41">
        <v>0.005053846133755</v>
      </c>
      <c r="K37" s="41">
        <v>0.0037570265165527</v>
      </c>
      <c r="L37" s="41">
        <v>0.0060940515419039</v>
      </c>
      <c r="M37" s="41">
        <v>8.839020358861E-4</v>
      </c>
      <c r="O37" s="41">
        <v>10345.0</v>
      </c>
      <c r="P37" s="41">
        <v>458.371798548998</v>
      </c>
      <c r="Q37" s="41">
        <v>0.0072749064199706</v>
      </c>
      <c r="R37" s="41">
        <v>0.0054058274807179</v>
      </c>
      <c r="S37" s="41">
        <v>0.008775260909092</v>
      </c>
      <c r="T37" s="41">
        <v>0.0012716922330472</v>
      </c>
    </row>
    <row r="38">
      <c r="A38" s="41">
        <v>6357.0</v>
      </c>
      <c r="B38" s="41">
        <v>234.062936747999</v>
      </c>
      <c r="C38" s="41">
        <v>0.0037019920643989</v>
      </c>
      <c r="D38" s="41">
        <v>0.0027604393759659</v>
      </c>
      <c r="E38" s="41">
        <v>0.004453606062882</v>
      </c>
      <c r="F38" s="41">
        <v>6.494332007777E-4</v>
      </c>
      <c r="H38" s="41">
        <v>7999.0</v>
      </c>
      <c r="I38" s="41">
        <v>267.951292832</v>
      </c>
      <c r="J38" s="41">
        <v>0.0042468782769146</v>
      </c>
      <c r="K38" s="41">
        <v>0.0031606041687813</v>
      </c>
      <c r="L38" s="41">
        <v>0.0051166865933459</v>
      </c>
      <c r="M38" s="41">
        <v>7.435920584389E-4</v>
      </c>
      <c r="O38" s="41">
        <v>9681.0</v>
      </c>
      <c r="P38" s="41">
        <v>432.960741399001</v>
      </c>
      <c r="Q38" s="41">
        <v>0.0068712460691438</v>
      </c>
      <c r="R38" s="41">
        <v>0.0051062577990249</v>
      </c>
      <c r="S38" s="41">
        <v>0.0082877899635599</v>
      </c>
      <c r="T38" s="41">
        <v>0.0012013094808666</v>
      </c>
    </row>
    <row r="39">
      <c r="A39" s="41">
        <v>6749.0</v>
      </c>
      <c r="B39" s="41">
        <v>257.242149095</v>
      </c>
      <c r="C39" s="41">
        <v>0.0040718804623314</v>
      </c>
      <c r="D39" s="41">
        <v>0.0030338373919798</v>
      </c>
      <c r="E39" s="41">
        <v>0.00490159281016</v>
      </c>
      <c r="F39" s="41">
        <v>7.137361066083E-4</v>
      </c>
      <c r="H39" s="41">
        <v>8803.0</v>
      </c>
      <c r="I39" s="41">
        <v>314.514360051998</v>
      </c>
      <c r="J39" s="41">
        <v>0.0049869826621212</v>
      </c>
      <c r="K39" s="41">
        <v>0.0037093814495055</v>
      </c>
      <c r="L39" s="41">
        <v>0.00601088953093</v>
      </c>
      <c r="M39" s="41">
        <v>8.726830177361E-4</v>
      </c>
      <c r="O39" s="41">
        <v>9419.0</v>
      </c>
      <c r="P39" s="41">
        <v>394.805285716</v>
      </c>
      <c r="Q39" s="41">
        <v>0.0062636115978807</v>
      </c>
      <c r="R39" s="41">
        <v>0.0046566556741653</v>
      </c>
      <c r="S39" s="41">
        <v>0.0075524865975399</v>
      </c>
      <c r="T39" s="41">
        <v>0.00109552590425</v>
      </c>
    </row>
    <row r="40">
      <c r="A40" s="41">
        <v>6667.0</v>
      </c>
      <c r="B40" s="41">
        <v>252.929862039</v>
      </c>
      <c r="C40" s="41">
        <v>0.0040035706686476</v>
      </c>
      <c r="D40" s="41">
        <v>0.0029833532140902</v>
      </c>
      <c r="E40" s="41">
        <v>0.0048188402439579</v>
      </c>
      <c r="F40" s="41">
        <v>7.018745916638E-4</v>
      </c>
      <c r="H40" s="41">
        <v>8266.0</v>
      </c>
      <c r="I40" s="41">
        <v>282.134430645001</v>
      </c>
      <c r="J40" s="41">
        <v>0.0044688507278518</v>
      </c>
      <c r="K40" s="41">
        <v>0.003327425039593</v>
      </c>
      <c r="L40" s="41">
        <v>0.0053821309723679</v>
      </c>
      <c r="M40" s="41">
        <v>7.828231263083E-4</v>
      </c>
      <c r="O40" s="41">
        <v>10526.0</v>
      </c>
      <c r="P40" s="41">
        <v>494.894155181998</v>
      </c>
      <c r="Q40" s="41">
        <v>0.0078552464392417</v>
      </c>
      <c r="R40" s="41">
        <v>0.0058370805962783</v>
      </c>
      <c r="S40" s="41">
        <v>0.009475135913436</v>
      </c>
      <c r="T40" s="41">
        <v>0.0013732764652694</v>
      </c>
    </row>
    <row r="41">
      <c r="A41" s="41">
        <v>7635.0</v>
      </c>
      <c r="B41" s="41">
        <v>313.744195084</v>
      </c>
      <c r="C41" s="41">
        <v>0.0049724946783036</v>
      </c>
      <c r="D41" s="41">
        <v>0.0037008849940173</v>
      </c>
      <c r="E41" s="41">
        <v>0.0059906275702759</v>
      </c>
      <c r="F41" s="41">
        <v>8.7066720495E-4</v>
      </c>
      <c r="H41" s="41">
        <v>8862.0</v>
      </c>
      <c r="I41" s="41">
        <v>303.366306920001</v>
      </c>
      <c r="J41" s="41">
        <v>0.0048110790609565</v>
      </c>
      <c r="K41" s="41">
        <v>0.0035775622568729</v>
      </c>
      <c r="L41" s="41">
        <v>0.00580007269561</v>
      </c>
      <c r="M41" s="41">
        <v>8.416785336805E-4</v>
      </c>
      <c r="O41" s="41">
        <v>10310.0</v>
      </c>
      <c r="P41" s="41">
        <v>455.473527026002</v>
      </c>
      <c r="Q41" s="41">
        <v>0.0072253847524325</v>
      </c>
      <c r="R41" s="41">
        <v>0.0053720207488777</v>
      </c>
      <c r="S41" s="41">
        <v>0.00871174724717</v>
      </c>
      <c r="T41" s="41">
        <v>0.0012638226188055</v>
      </c>
    </row>
    <row r="42">
      <c r="A42" s="41">
        <v>7222.0</v>
      </c>
      <c r="B42" s="41">
        <v>297.830716226999</v>
      </c>
      <c r="C42" s="41">
        <v>0.0047187934478252</v>
      </c>
      <c r="D42" s="41">
        <v>0.0035128163137971</v>
      </c>
      <c r="E42" s="41">
        <v>0.00568407121392</v>
      </c>
      <c r="F42" s="41">
        <v>8.264001607194E-4</v>
      </c>
      <c r="H42" s="41">
        <v>8517.0</v>
      </c>
      <c r="I42" s="41">
        <v>295.081819651</v>
      </c>
      <c r="J42" s="41">
        <v>0.0046790036063583</v>
      </c>
      <c r="K42" s="41">
        <v>0.0034799299153013</v>
      </c>
      <c r="L42" s="41">
        <v>0.0056401275676539</v>
      </c>
      <c r="M42" s="41">
        <v>8.187117724305E-4</v>
      </c>
      <c r="O42" s="41">
        <v>10193.0</v>
      </c>
      <c r="P42" s="41">
        <v>462.571681036999</v>
      </c>
      <c r="Q42" s="41">
        <v>0.0073428490323173</v>
      </c>
      <c r="R42" s="41">
        <v>0.0054556428376303</v>
      </c>
      <c r="S42" s="41">
        <v>0.008857967641924</v>
      </c>
      <c r="T42" s="41">
        <v>0.0012834884647944</v>
      </c>
    </row>
    <row r="43">
      <c r="A43" s="41">
        <v>7287.0</v>
      </c>
      <c r="B43" s="41">
        <v>290.258314518001</v>
      </c>
      <c r="C43" s="41">
        <v>0.0045986176167881</v>
      </c>
      <c r="D43" s="41">
        <v>0.0034233419399347</v>
      </c>
      <c r="E43" s="41">
        <v>0.005539302209216</v>
      </c>
      <c r="F43" s="41">
        <v>8.053755473722E-4</v>
      </c>
      <c r="H43" s="41">
        <v>8914.0</v>
      </c>
      <c r="I43" s="41">
        <v>311.927556267999</v>
      </c>
      <c r="J43" s="41">
        <v>0.0049480338864873</v>
      </c>
      <c r="K43" s="41">
        <v>0.0036791650019354</v>
      </c>
      <c r="L43" s="41">
        <v>0.005965482827938</v>
      </c>
      <c r="M43" s="41">
        <v>8.655742607444E-4</v>
      </c>
      <c r="O43" s="41">
        <v>10546.0</v>
      </c>
      <c r="P43" s="41">
        <v>478.280729496</v>
      </c>
      <c r="Q43" s="41">
        <v>0.0075899570088175</v>
      </c>
      <c r="R43" s="41">
        <v>0.0056403167985819</v>
      </c>
      <c r="S43" s="41">
        <v>0.009154720934882</v>
      </c>
      <c r="T43" s="41">
        <v>0.0013269484232527</v>
      </c>
    </row>
    <row r="44">
      <c r="A44" s="41">
        <v>6420.0</v>
      </c>
      <c r="B44" s="41">
        <v>232.3643357</v>
      </c>
      <c r="C44" s="41">
        <v>0.0036750856092188</v>
      </c>
      <c r="D44" s="41">
        <v>0.0027404810039493</v>
      </c>
      <c r="E44" s="41">
        <v>0.004421114370222</v>
      </c>
      <c r="F44" s="41">
        <v>6.447307022138E-4</v>
      </c>
      <c r="H44" s="41">
        <v>8540.0</v>
      </c>
      <c r="I44" s="41">
        <v>299.865367659</v>
      </c>
      <c r="J44" s="41">
        <v>0.0047562818931312</v>
      </c>
      <c r="K44" s="41">
        <v>0.0035365988921736</v>
      </c>
      <c r="L44" s="41">
        <v>0.005734273476304</v>
      </c>
      <c r="M44" s="41">
        <v>8.320453093722E-4</v>
      </c>
      <c r="O44" s="41">
        <v>10089.0</v>
      </c>
      <c r="P44" s="41">
        <v>457.806470562001</v>
      </c>
      <c r="Q44" s="41">
        <v>0.0072650218742034</v>
      </c>
      <c r="R44" s="41">
        <v>0.0053988028706264</v>
      </c>
      <c r="S44" s="41">
        <v>0.008762891454752</v>
      </c>
      <c r="T44" s="41">
        <v>0.0012700903274305</v>
      </c>
    </row>
    <row r="45">
      <c r="A45" s="41">
        <v>7453.0</v>
      </c>
      <c r="B45" s="41">
        <v>306.374325573</v>
      </c>
      <c r="C45" s="41">
        <v>0.0048566002224172</v>
      </c>
      <c r="D45" s="41">
        <v>0.0036135309302327</v>
      </c>
      <c r="E45" s="41">
        <v>0.005852341626314</v>
      </c>
      <c r="F45" s="41">
        <v>8.501333791333E-4</v>
      </c>
      <c r="H45" s="41">
        <v>8713.0</v>
      </c>
      <c r="I45" s="41">
        <v>303.613361126999</v>
      </c>
      <c r="J45" s="41">
        <v>0.0048080773732364</v>
      </c>
      <c r="K45" s="41">
        <v>0.0035806798283173</v>
      </c>
      <c r="L45" s="41">
        <v>0.005789859076328</v>
      </c>
      <c r="M45" s="41">
        <v>8.423986339583E-4</v>
      </c>
      <c r="O45" s="41">
        <v>10079.0</v>
      </c>
      <c r="P45" s="41">
        <v>439.523214198001</v>
      </c>
      <c r="Q45" s="41">
        <v>0.0069744705116547</v>
      </c>
      <c r="R45" s="41">
        <v>0.005183447276891</v>
      </c>
      <c r="S45" s="41">
        <v>0.0084117083960279</v>
      </c>
      <c r="T45" s="41">
        <v>0.0012194627641417</v>
      </c>
    </row>
    <row r="46">
      <c r="A46" s="41">
        <v>6085.0</v>
      </c>
      <c r="B46" s="41">
        <v>214.266615704</v>
      </c>
      <c r="C46" s="41">
        <v>0.0033864783568686</v>
      </c>
      <c r="D46" s="41">
        <v>0.0025272932631292</v>
      </c>
      <c r="E46" s="41">
        <v>0.004071416312686</v>
      </c>
      <c r="F46" s="41">
        <v>5.945798098861E-4</v>
      </c>
      <c r="H46" s="41">
        <v>8546.0</v>
      </c>
      <c r="I46" s="41">
        <v>311.098706556</v>
      </c>
      <c r="J46" s="41">
        <v>0.0049347491300147</v>
      </c>
      <c r="K46" s="41">
        <v>0.003669557723959</v>
      </c>
      <c r="L46" s="41">
        <v>0.0059491242037399</v>
      </c>
      <c r="M46" s="41">
        <v>8.633217343166E-4</v>
      </c>
      <c r="O46" s="41">
        <v>9329.0</v>
      </c>
      <c r="P46" s="41">
        <v>406.503318891002</v>
      </c>
      <c r="Q46" s="41">
        <v>0.0064499759177386</v>
      </c>
      <c r="R46" s="41">
        <v>0.0047943310314963</v>
      </c>
      <c r="S46" s="41">
        <v>0.007778286500402</v>
      </c>
      <c r="T46" s="41">
        <v>0.0011279109870555</v>
      </c>
    </row>
    <row r="47">
      <c r="A47" s="41">
        <v>6104.0</v>
      </c>
      <c r="B47" s="41">
        <v>209.190399220999</v>
      </c>
      <c r="C47" s="41">
        <v>0.0033038995825563</v>
      </c>
      <c r="D47" s="41">
        <v>0.0024672202930631</v>
      </c>
      <c r="E47" s="41">
        <v>0.003970222898398</v>
      </c>
      <c r="F47" s="41">
        <v>5.804388955222E-4</v>
      </c>
      <c r="H47" s="41">
        <v>8419.0</v>
      </c>
      <c r="I47" s="41">
        <v>292.814799173</v>
      </c>
      <c r="J47" s="41">
        <v>0.0046425056479739</v>
      </c>
      <c r="K47" s="41">
        <v>0.0034536082585867</v>
      </c>
      <c r="L47" s="41">
        <v>0.0055951441983339</v>
      </c>
      <c r="M47" s="41">
        <v>8.124907230027E-4</v>
      </c>
      <c r="O47" s="41">
        <v>9056.0</v>
      </c>
      <c r="P47" s="41">
        <v>374.453371125997</v>
      </c>
      <c r="Q47" s="41">
        <v>0.0059386183945924</v>
      </c>
      <c r="R47" s="41">
        <v>0.0044166328524055</v>
      </c>
      <c r="S47" s="41">
        <v>0.0071586451713559</v>
      </c>
      <c r="T47" s="41">
        <v>0.0010390653034027</v>
      </c>
    </row>
    <row r="48">
      <c r="A48" s="41">
        <v>5912.0</v>
      </c>
      <c r="B48" s="41">
        <v>194.915732001001</v>
      </c>
      <c r="C48" s="41">
        <v>0.0030772434032025</v>
      </c>
      <c r="D48" s="41">
        <v>0.0022991085741666</v>
      </c>
      <c r="E48" s="41">
        <v>0.003696431846032</v>
      </c>
      <c r="F48" s="41">
        <v>5.408965437583E-4</v>
      </c>
      <c r="H48" s="41">
        <v>7846.0</v>
      </c>
      <c r="I48" s="41">
        <v>258.130438039999</v>
      </c>
      <c r="J48" s="41">
        <v>0.0040876197915584</v>
      </c>
      <c r="K48" s="41">
        <v>0.0030438497624722</v>
      </c>
      <c r="L48" s="41">
        <v>0.004922666160352</v>
      </c>
      <c r="M48" s="41">
        <v>7.160826237638E-4</v>
      </c>
      <c r="O48" s="41">
        <v>8626.0</v>
      </c>
      <c r="P48" s="41">
        <v>348.022847681997</v>
      </c>
      <c r="Q48" s="41">
        <v>0.0054974665739475</v>
      </c>
      <c r="R48" s="41">
        <v>0.0041041360512896</v>
      </c>
      <c r="S48" s="41">
        <v>0.006607625008318</v>
      </c>
      <c r="T48" s="41">
        <v>9.655224743083E-4</v>
      </c>
    </row>
    <row r="49">
      <c r="A49" s="41">
        <v>6805.0</v>
      </c>
      <c r="B49" s="41">
        <v>236.156956904</v>
      </c>
      <c r="C49" s="41">
        <v>0.0037289755594589</v>
      </c>
      <c r="D49" s="41">
        <v>0.0027853216169798</v>
      </c>
      <c r="E49" s="41">
        <v>0.00448020636194</v>
      </c>
      <c r="F49" s="41">
        <v>6.552668659638E-4</v>
      </c>
      <c r="H49" s="41">
        <v>9077.0</v>
      </c>
      <c r="I49" s="41">
        <v>302.467870195998</v>
      </c>
      <c r="J49" s="41">
        <v>0.0047972922161378</v>
      </c>
      <c r="K49" s="41">
        <v>0.0035672422233792</v>
      </c>
      <c r="L49" s="41">
        <v>0.0057835582379539</v>
      </c>
      <c r="M49" s="41">
        <v>8.392280998888E-4</v>
      </c>
      <c r="O49" s="41">
        <v>10022.0</v>
      </c>
      <c r="P49" s="41">
        <v>409.159874044999</v>
      </c>
      <c r="Q49" s="41">
        <v>0.0064889117775453</v>
      </c>
      <c r="R49" s="41">
        <v>0.0048253316796577</v>
      </c>
      <c r="S49" s="41">
        <v>0.0078226895914799</v>
      </c>
      <c r="T49" s="41">
        <v>0.0011352117205916</v>
      </c>
    </row>
    <row r="50">
      <c r="A50" s="41">
        <v>7204.0</v>
      </c>
      <c r="B50" s="41">
        <v>317.551047544</v>
      </c>
      <c r="C50" s="41">
        <v>0.0050333005533929</v>
      </c>
      <c r="D50" s="41">
        <v>0.0037453116865146</v>
      </c>
      <c r="E50" s="41">
        <v>0.0060648942963559</v>
      </c>
      <c r="F50" s="41">
        <v>8.811328152444E-4</v>
      </c>
      <c r="H50" s="41">
        <v>8460.0</v>
      </c>
      <c r="I50" s="41">
        <v>305.058616504</v>
      </c>
      <c r="J50" s="41">
        <v>0.0048362799681779</v>
      </c>
      <c r="K50" s="41">
        <v>0.0035972393559917</v>
      </c>
      <c r="L50" s="41">
        <v>0.0058293057745519</v>
      </c>
      <c r="M50" s="41">
        <v>8.462981288305E-4</v>
      </c>
      <c r="O50" s="41">
        <v>9090.0</v>
      </c>
      <c r="P50" s="41">
        <v>391.832677533999</v>
      </c>
      <c r="Q50" s="41">
        <v>0.0062147138314459</v>
      </c>
      <c r="R50" s="41">
        <v>0.0046212511705499</v>
      </c>
      <c r="S50" s="41">
        <v>0.00749234349387</v>
      </c>
      <c r="T50" s="41">
        <v>0.0010872087448916</v>
      </c>
    </row>
    <row r="51">
      <c r="A51" s="41">
        <v>8639.0</v>
      </c>
      <c r="B51" s="41">
        <v>403.02668387</v>
      </c>
      <c r="C51" s="41">
        <v>0.0063957266904583</v>
      </c>
      <c r="D51" s="41">
        <v>0.0047533567791826</v>
      </c>
      <c r="E51" s="41">
        <v>0.00771367839316</v>
      </c>
      <c r="F51" s="41">
        <v>0.0011182614302499</v>
      </c>
      <c r="H51" s="41">
        <v>9321.0</v>
      </c>
      <c r="I51" s="41">
        <v>336.288187515998</v>
      </c>
      <c r="J51" s="41">
        <v>0.0053312056717278</v>
      </c>
      <c r="K51" s="41">
        <v>0.003966233449693</v>
      </c>
      <c r="L51" s="41">
        <v>0.0064247940287199</v>
      </c>
      <c r="M51" s="41">
        <v>9.330978016583E-4</v>
      </c>
      <c r="O51" s="41">
        <v>10074.0</v>
      </c>
      <c r="P51" s="41">
        <v>435.211974456</v>
      </c>
      <c r="Q51" s="41">
        <v>0.0069032757226168</v>
      </c>
      <c r="R51" s="41">
        <v>0.0051317614474964</v>
      </c>
      <c r="S51" s="41">
        <v>0.00832433443724</v>
      </c>
      <c r="T51" s="41">
        <v>0.0012072962144193</v>
      </c>
    </row>
    <row r="52">
      <c r="A52" s="41">
        <v>7727.0</v>
      </c>
      <c r="B52" s="41">
        <v>318.097985931</v>
      </c>
      <c r="C52" s="41">
        <v>0.0050421801758773</v>
      </c>
      <c r="D52" s="41">
        <v>0.0037521363350979</v>
      </c>
      <c r="E52" s="41">
        <v>0.0060753195824739</v>
      </c>
      <c r="F52" s="41">
        <v>8.827442720638E-4</v>
      </c>
      <c r="H52" s="41">
        <v>9360.0</v>
      </c>
      <c r="I52" s="41">
        <v>335.998813797999</v>
      </c>
      <c r="J52" s="41">
        <v>0.0053236233432114</v>
      </c>
      <c r="K52" s="41">
        <v>0.0039623682613152</v>
      </c>
      <c r="L52" s="41">
        <v>0.006413457075206</v>
      </c>
      <c r="M52" s="41">
        <v>9.321941612333E-4</v>
      </c>
      <c r="O52" s="41">
        <v>10408.0</v>
      </c>
      <c r="P52" s="41">
        <v>461.846141365997</v>
      </c>
      <c r="Q52" s="41">
        <v>0.0073300620433096</v>
      </c>
      <c r="R52" s="41">
        <v>0.0054467742632868</v>
      </c>
      <c r="S52" s="41">
        <v>0.0088417848512</v>
      </c>
      <c r="T52" s="41">
        <v>0.001281378719525</v>
      </c>
    </row>
    <row r="53">
      <c r="A53" s="41">
        <v>7464.0</v>
      </c>
      <c r="B53" s="41">
        <v>302.330297759001</v>
      </c>
      <c r="C53" s="41">
        <v>0.0047913709208428</v>
      </c>
      <c r="D53" s="41">
        <v>0.003565482480409</v>
      </c>
      <c r="E53" s="41">
        <v>0.005773180451874</v>
      </c>
      <c r="F53" s="41">
        <v>8.387880819694E-4</v>
      </c>
      <c r="H53" s="41">
        <v>8222.0</v>
      </c>
      <c r="I53" s="41">
        <v>261.291610844997</v>
      </c>
      <c r="J53" s="41">
        <v>0.0041404664722126</v>
      </c>
      <c r="K53" s="41">
        <v>0.0030819083549979</v>
      </c>
      <c r="L53" s="41">
        <v>0.0049878801014119</v>
      </c>
      <c r="M53" s="41">
        <v>7.250628279666E-4</v>
      </c>
      <c r="O53" s="41">
        <v>9548.0</v>
      </c>
      <c r="P53" s="41">
        <v>396.438450231002</v>
      </c>
      <c r="Q53" s="41">
        <v>0.0062867215798703</v>
      </c>
      <c r="R53" s="41">
        <v>0.0046746182563346</v>
      </c>
      <c r="S53" s="41">
        <v>0.0075793671746</v>
      </c>
      <c r="T53" s="41">
        <v>0.0010997711402888</v>
      </c>
    </row>
    <row r="54">
      <c r="A54" s="41">
        <v>7717.0</v>
      </c>
      <c r="B54" s="41">
        <v>322.447464270999</v>
      </c>
      <c r="C54" s="41">
        <v>0.0051120885264607</v>
      </c>
      <c r="D54" s="41">
        <v>0.003802969445295</v>
      </c>
      <c r="E54" s="41">
        <v>0.0061610471510559</v>
      </c>
      <c r="F54" s="41">
        <v>8.946773804083E-4</v>
      </c>
      <c r="H54" s="41">
        <v>8783.0</v>
      </c>
      <c r="I54" s="41">
        <v>296.930291469998</v>
      </c>
      <c r="J54" s="41">
        <v>0.0047079049796233</v>
      </c>
      <c r="K54" s="41">
        <v>0.0035018856691444</v>
      </c>
      <c r="L54" s="41">
        <v>0.0056744145395279</v>
      </c>
      <c r="M54" s="41">
        <v>8.238590571111E-4</v>
      </c>
      <c r="O54" s="41">
        <v>9748.0</v>
      </c>
      <c r="P54" s="41">
        <v>408.360785476001</v>
      </c>
      <c r="Q54" s="41">
        <v>0.0064730604895849</v>
      </c>
      <c r="R54" s="41">
        <v>0.0048150735862424</v>
      </c>
      <c r="S54" s="41">
        <v>0.0078017006857999</v>
      </c>
      <c r="T54" s="41">
        <v>0.0011327886679639</v>
      </c>
    </row>
    <row r="55">
      <c r="A55" s="41">
        <v>6715.0</v>
      </c>
      <c r="B55" s="41">
        <v>228.686426426</v>
      </c>
      <c r="C55" s="41">
        <v>0.003617436819069</v>
      </c>
      <c r="D55" s="41">
        <v>0.002697073338627</v>
      </c>
      <c r="E55" s="41">
        <v>0.004352308759622</v>
      </c>
      <c r="F55" s="41">
        <v>6.344909793027E-4</v>
      </c>
      <c r="H55" s="41">
        <v>8903.0</v>
      </c>
      <c r="I55" s="41">
        <v>296.754063190001</v>
      </c>
      <c r="J55" s="41">
        <v>0.0047063808216354</v>
      </c>
      <c r="K55" s="41">
        <v>0.0034996689046436</v>
      </c>
      <c r="L55" s="41">
        <v>0.0056739362058119</v>
      </c>
      <c r="M55" s="41">
        <v>8.233166595222E-4</v>
      </c>
      <c r="O55" s="41">
        <v>10152.0</v>
      </c>
      <c r="P55" s="41">
        <v>429.30286033</v>
      </c>
      <c r="Q55" s="41">
        <v>0.0068120607607164</v>
      </c>
      <c r="R55" s="41">
        <v>0.0050631721917728</v>
      </c>
      <c r="S55" s="41">
        <v>0.0082152754611039</v>
      </c>
      <c r="T55" s="41">
        <v>0.0011911928411861</v>
      </c>
    </row>
    <row r="56">
      <c r="A56" s="41">
        <v>7227.0</v>
      </c>
      <c r="B56" s="41">
        <v>298.221925335999</v>
      </c>
      <c r="C56" s="41">
        <v>0.0047240547713102</v>
      </c>
      <c r="D56" s="41">
        <v>0.0035171033725812</v>
      </c>
      <c r="E56" s="41">
        <v>0.00568994344084</v>
      </c>
      <c r="F56" s="41">
        <v>8.274165620833E-4</v>
      </c>
      <c r="H56" s="41">
        <v>8684.0</v>
      </c>
      <c r="I56" s="41">
        <v>305.338799554996</v>
      </c>
      <c r="J56" s="41">
        <v>0.0048431490223213</v>
      </c>
      <c r="K56" s="41">
        <v>0.0036009150202825</v>
      </c>
      <c r="L56" s="41">
        <v>0.0058393802270559</v>
      </c>
      <c r="M56" s="41">
        <v>8.471387133638E-4</v>
      </c>
      <c r="O56" s="41">
        <v>9566.0</v>
      </c>
      <c r="P56" s="41">
        <v>416.515824267</v>
      </c>
      <c r="Q56" s="41">
        <v>0.0066050342917844</v>
      </c>
      <c r="R56" s="41">
        <v>0.0049120756854562</v>
      </c>
      <c r="S56" s="41">
        <v>0.00796219803642</v>
      </c>
      <c r="T56" s="41">
        <v>0.001155617526925</v>
      </c>
    </row>
    <row r="57">
      <c r="A57" s="41">
        <v>8450.0</v>
      </c>
      <c r="B57" s="41">
        <v>380.923635201998</v>
      </c>
      <c r="C57" s="41">
        <v>0.0060441156466172</v>
      </c>
      <c r="D57" s="41">
        <v>0.0044928547049695</v>
      </c>
      <c r="E57" s="41">
        <v>0.007288579164192</v>
      </c>
      <c r="F57" s="41">
        <v>0.0010569983737555</v>
      </c>
      <c r="H57" s="41">
        <v>9066.0</v>
      </c>
      <c r="I57" s="41">
        <v>314.770193438002</v>
      </c>
      <c r="J57" s="41">
        <v>0.0049830686596295</v>
      </c>
      <c r="K57" s="41">
        <v>0.0037128792430798</v>
      </c>
      <c r="L57" s="41">
        <v>0.0059982606319379</v>
      </c>
      <c r="M57" s="41">
        <v>8.735003087388E-4</v>
      </c>
      <c r="O57" s="41">
        <v>10109.0</v>
      </c>
      <c r="P57" s="41">
        <v>436.703310337001</v>
      </c>
      <c r="Q57" s="41">
        <v>0.006926909045132</v>
      </c>
      <c r="R57" s="41">
        <v>0.0051506792394785</v>
      </c>
      <c r="S57" s="41">
        <v>0.0083511902920579</v>
      </c>
      <c r="T57" s="41">
        <v>0.001211722601425</v>
      </c>
    </row>
    <row r="58">
      <c r="A58" s="41">
        <v>6126.0</v>
      </c>
      <c r="B58" s="41">
        <v>214.662144485999</v>
      </c>
      <c r="C58" s="41">
        <v>0.0033911801010863</v>
      </c>
      <c r="D58" s="41">
        <v>0.0025314481649285</v>
      </c>
      <c r="E58" s="41">
        <v>0.0040762804832439</v>
      </c>
      <c r="F58" s="41">
        <v>5.955478105916E-4</v>
      </c>
      <c r="H58" s="41">
        <v>8435.0</v>
      </c>
      <c r="I58" s="41">
        <v>296.794836735003</v>
      </c>
      <c r="J58" s="41">
        <v>0.0047052286268713</v>
      </c>
      <c r="K58" s="41">
        <v>0.0034999996118771</v>
      </c>
      <c r="L58" s="41">
        <v>0.005671074536856</v>
      </c>
      <c r="M58" s="41">
        <v>8.234002202889E-4</v>
      </c>
      <c r="O58" s="41">
        <v>9186.0</v>
      </c>
      <c r="P58" s="41">
        <v>396.527885135001</v>
      </c>
      <c r="Q58" s="41">
        <v>0.0062772808040032</v>
      </c>
      <c r="R58" s="41">
        <v>0.0046761671197708</v>
      </c>
      <c r="S58" s="41">
        <v>0.0075573999348039</v>
      </c>
      <c r="T58" s="41">
        <v>0.0011001361675111</v>
      </c>
    </row>
    <row r="59">
      <c r="A59" s="41">
        <v>6239.0</v>
      </c>
      <c r="B59" s="41">
        <v>233.334124324999</v>
      </c>
      <c r="C59" s="41">
        <v>0.0036892748848883</v>
      </c>
      <c r="D59" s="41">
        <v>0.0027515739762068</v>
      </c>
      <c r="E59" s="41">
        <v>0.0044375602167119</v>
      </c>
      <c r="F59" s="41">
        <v>6.473316201805E-4</v>
      </c>
      <c r="H59" s="41">
        <v>8349.0</v>
      </c>
      <c r="I59" s="41">
        <v>301.243138513</v>
      </c>
      <c r="J59" s="41">
        <v>0.0047734194211165</v>
      </c>
      <c r="K59" s="41">
        <v>0.0035522992789125</v>
      </c>
      <c r="L59" s="41">
        <v>0.0057513146010479</v>
      </c>
      <c r="M59" s="41">
        <v>8.357059789055E-4</v>
      </c>
      <c r="O59" s="41">
        <v>9160.0</v>
      </c>
      <c r="P59" s="41">
        <v>401.135189955999</v>
      </c>
      <c r="Q59" s="41">
        <v>0.0063635531812012</v>
      </c>
      <c r="R59" s="41">
        <v>0.0047308443583444</v>
      </c>
      <c r="S59" s="41">
        <v>0.007673144749622</v>
      </c>
      <c r="T59" s="41">
        <v>0.0011129670718472</v>
      </c>
    </row>
    <row r="60">
      <c r="A60" s="41">
        <v>6875.0</v>
      </c>
      <c r="B60" s="41">
        <v>261.481442958</v>
      </c>
      <c r="C60" s="41">
        <v>0.0041388939323912</v>
      </c>
      <c r="D60" s="41">
        <v>0.0030841467870492</v>
      </c>
      <c r="E60" s="41">
        <v>0.00498177898542</v>
      </c>
      <c r="F60" s="41">
        <v>7.255852472388E-4</v>
      </c>
      <c r="H60" s="41">
        <v>9281.0</v>
      </c>
      <c r="I60" s="41">
        <v>338.306779956998</v>
      </c>
      <c r="J60" s="43">
        <v>4.4892371620627E-5</v>
      </c>
      <c r="K60" s="41">
        <v>0.0039900964251305</v>
      </c>
      <c r="L60" s="41">
        <v>0.006472854067168</v>
      </c>
      <c r="M60" s="41">
        <v>9.387065382139E-4</v>
      </c>
      <c r="O60" s="41">
        <v>10369.0</v>
      </c>
      <c r="P60" s="41">
        <v>465.898837715001</v>
      </c>
      <c r="Q60" s="41">
        <v>0.007394480713188</v>
      </c>
      <c r="R60" s="41">
        <v>0.0054940970204986</v>
      </c>
      <c r="S60" s="41">
        <v>0.0089201379694379</v>
      </c>
      <c r="T60" s="41">
        <v>0.0012925358857916</v>
      </c>
    </row>
    <row r="61">
      <c r="A61" s="41">
        <v>6213.0</v>
      </c>
      <c r="B61" s="41">
        <v>230.326863910999</v>
      </c>
      <c r="C61" s="41">
        <v>0.0036378448298346</v>
      </c>
      <c r="D61" s="41">
        <v>0.0027160277538978</v>
      </c>
      <c r="E61" s="41">
        <v>0.00437227988671</v>
      </c>
      <c r="F61" s="41">
        <v>6.389145187194E-4</v>
      </c>
      <c r="H61" s="41">
        <v>8560.0</v>
      </c>
      <c r="I61" s="41">
        <v>313.543068564999</v>
      </c>
      <c r="J61" s="41">
        <v>0.004971452206893</v>
      </c>
      <c r="K61" s="41">
        <v>0.0036980381667569</v>
      </c>
      <c r="L61" s="41">
        <v>0.0059919314602079</v>
      </c>
      <c r="M61" s="41">
        <v>8.699958069889E-4</v>
      </c>
      <c r="O61" s="41">
        <v>9810.0</v>
      </c>
      <c r="P61" s="41">
        <v>454.073733567998</v>
      </c>
      <c r="Q61" s="41">
        <v>0.0072050406242305</v>
      </c>
      <c r="R61" s="41">
        <v>0.0053546611398498</v>
      </c>
      <c r="S61" s="41">
        <v>0.008690011952004</v>
      </c>
      <c r="T61" s="41">
        <v>0.001259704135511</v>
      </c>
    </row>
    <row r="62">
      <c r="A62" s="41">
        <v>7153.0</v>
      </c>
      <c r="B62" s="41">
        <v>280.373865394998</v>
      </c>
      <c r="C62" s="41">
        <v>0.0044414495622192</v>
      </c>
      <c r="D62" s="41">
        <v>0.0033069213147304</v>
      </c>
      <c r="E62" s="41">
        <v>0.0053492712238579</v>
      </c>
      <c r="F62" s="41">
        <v>7.779832116388E-4</v>
      </c>
      <c r="H62" s="41">
        <v>9192.0</v>
      </c>
      <c r="I62" s="41">
        <v>331.358844736998</v>
      </c>
      <c r="J62" s="41">
        <v>0.0052574482334645</v>
      </c>
      <c r="K62" s="41">
        <v>0.0039080956939646</v>
      </c>
      <c r="L62" s="41">
        <v>0.006339991460878</v>
      </c>
      <c r="M62" s="41">
        <v>9.193684105972E-4</v>
      </c>
      <c r="O62" s="41">
        <v>9827.0</v>
      </c>
      <c r="P62" s="41">
        <v>428.182347215999</v>
      </c>
      <c r="Q62" s="41">
        <v>0.0067935377837732</v>
      </c>
      <c r="R62" s="41">
        <v>0.0050506679171632</v>
      </c>
      <c r="S62" s="41">
        <v>0.0081914123864579</v>
      </c>
      <c r="T62" s="41">
        <v>0.0011882151483666</v>
      </c>
    </row>
    <row r="63">
      <c r="A63" s="41">
        <v>7058.0</v>
      </c>
      <c r="B63" s="41">
        <v>278.779403516</v>
      </c>
      <c r="C63" s="41">
        <v>0.0044133230155088</v>
      </c>
      <c r="D63" s="41">
        <v>0.0032875599450304</v>
      </c>
      <c r="E63" s="41">
        <v>0.005313439250748</v>
      </c>
      <c r="F63" s="41">
        <v>7.734323693138E-4</v>
      </c>
      <c r="H63" s="41">
        <v>8571.0</v>
      </c>
      <c r="I63" s="41">
        <v>294.086067549</v>
      </c>
      <c r="J63" s="43">
        <v>3.89839605162927E-5</v>
      </c>
      <c r="K63" s="41">
        <v>0.0034691555128791</v>
      </c>
      <c r="L63" s="41">
        <v>0.005615723659242</v>
      </c>
      <c r="M63" s="41">
        <v>8.161737562916E-4</v>
      </c>
      <c r="O63" s="41">
        <v>9710.0</v>
      </c>
      <c r="P63" s="41">
        <v>419.426822935998</v>
      </c>
      <c r="Q63" s="41">
        <v>0.0066518574364083</v>
      </c>
      <c r="R63" s="41">
        <v>0.0049463922531993</v>
      </c>
      <c r="S63" s="41">
        <v>0.0080192369709399</v>
      </c>
      <c r="T63" s="41">
        <v>0.0011637200438</v>
      </c>
    </row>
    <row r="64">
      <c r="A64" s="41">
        <v>7650.0</v>
      </c>
      <c r="B64" s="41">
        <v>341.516063996001</v>
      </c>
      <c r="C64" s="41">
        <v>0.0054154629124076</v>
      </c>
      <c r="D64" s="41">
        <v>0.004027869900716</v>
      </c>
      <c r="E64" s="41">
        <v>0.0065275946665159</v>
      </c>
      <c r="F64" s="41">
        <v>9.476332770138E-4</v>
      </c>
      <c r="H64" s="41">
        <v>9037.0</v>
      </c>
      <c r="I64" s="41">
        <v>340.803072961</v>
      </c>
      <c r="J64" s="41">
        <v>0.0054066749759544</v>
      </c>
      <c r="K64" s="41">
        <v>0.0040193122295616</v>
      </c>
      <c r="L64" s="41">
        <v>0.00651952466006</v>
      </c>
      <c r="M64" s="41">
        <v>9.455943153166E-4</v>
      </c>
      <c r="O64" s="41">
        <v>9686.0</v>
      </c>
      <c r="P64" s="41">
        <v>435.813298798999</v>
      </c>
      <c r="Q64" s="41">
        <v>0.0069148851828637</v>
      </c>
      <c r="R64" s="41">
        <v>0.0051398518741466</v>
      </c>
      <c r="S64" s="41">
        <v>0.0083389852822939</v>
      </c>
      <c r="T64" s="41">
        <v>0.001209214839625</v>
      </c>
    </row>
    <row r="65">
      <c r="A65" s="41">
        <v>8133.0</v>
      </c>
      <c r="B65" s="41">
        <v>361.839390689001</v>
      </c>
      <c r="C65" s="41">
        <v>0.0057400349311102</v>
      </c>
      <c r="D65" s="41">
        <v>0.0042672152530791</v>
      </c>
      <c r="E65" s="41">
        <v>0.006921424426024</v>
      </c>
      <c r="F65" s="41">
        <v>0.0010038883669611</v>
      </c>
      <c r="H65" s="41">
        <v>8906.0</v>
      </c>
      <c r="I65" s="41">
        <v>308.380205219</v>
      </c>
      <c r="J65" s="41">
        <v>0.0048904827402859</v>
      </c>
      <c r="K65" s="41">
        <v>0.0036374055511068</v>
      </c>
      <c r="L65" s="41">
        <v>0.005894861382552</v>
      </c>
      <c r="M65" s="41">
        <v>8.55709565675E-4</v>
      </c>
      <c r="O65" s="41">
        <v>10207.0</v>
      </c>
      <c r="P65" s="41">
        <v>454.704305376999</v>
      </c>
      <c r="Q65" s="41">
        <v>0.0072133568868579</v>
      </c>
      <c r="R65" s="41">
        <v>0.0053618395523535</v>
      </c>
      <c r="S65" s="41">
        <v>0.0086987641812279</v>
      </c>
      <c r="T65" s="41">
        <v>0.0012614382408694</v>
      </c>
    </row>
    <row r="66">
      <c r="A66" s="41">
        <v>7305.0</v>
      </c>
      <c r="B66" s="41">
        <v>311.471342064</v>
      </c>
      <c r="C66" s="41">
        <v>0.0049363271023737</v>
      </c>
      <c r="D66" s="41">
        <v>0.0036737305519868</v>
      </c>
      <c r="E66" s="41">
        <v>0.0059473486467639</v>
      </c>
      <c r="F66" s="41">
        <v>8.642762673E-4</v>
      </c>
      <c r="H66" s="41">
        <v>8506.0</v>
      </c>
      <c r="I66" s="41">
        <v>301.457929787</v>
      </c>
      <c r="J66" s="43">
        <v>3.99741669225738E-5</v>
      </c>
      <c r="K66" s="41">
        <v>0.0035554853927986</v>
      </c>
      <c r="L66" s="41">
        <v>0.0057605826640179</v>
      </c>
      <c r="M66" s="41">
        <v>8.364751231972E-4</v>
      </c>
      <c r="O66" s="41">
        <v>9032.0</v>
      </c>
      <c r="P66" s="41">
        <v>378.854678242001</v>
      </c>
      <c r="Q66" s="41">
        <v>0.0060081071694473</v>
      </c>
      <c r="R66" s="41">
        <v>0.0044678001184276</v>
      </c>
      <c r="S66" s="41">
        <v>0.00724307940557</v>
      </c>
      <c r="T66" s="41">
        <v>0.0010510663607249</v>
      </c>
    </row>
    <row r="67">
      <c r="A67" s="41">
        <v>6833.0</v>
      </c>
      <c r="B67" s="41">
        <v>274.278528130002</v>
      </c>
      <c r="C67" s="41">
        <v>0.0043416615927285</v>
      </c>
      <c r="D67" s="41">
        <v>0.003234415074781</v>
      </c>
      <c r="E67" s="41">
        <v>0.005226869181492</v>
      </c>
      <c r="F67" s="41">
        <v>7.609297844388E-4</v>
      </c>
      <c r="H67" s="41">
        <v>8524.0</v>
      </c>
      <c r="I67" s="41">
        <v>305.269099683999</v>
      </c>
      <c r="J67" s="41">
        <v>0.0048386713393335</v>
      </c>
      <c r="K67" s="41">
        <v>0.003600021747668</v>
      </c>
      <c r="L67" s="41">
        <v>0.0058309491091999</v>
      </c>
      <c r="M67" s="41">
        <v>8.469519639083E-4</v>
      </c>
      <c r="O67" s="41">
        <v>9648.0</v>
      </c>
      <c r="P67" s="41">
        <v>427.060430805999</v>
      </c>
      <c r="Q67" s="41">
        <v>0.0067711479590406</v>
      </c>
      <c r="R67" s="41">
        <v>0.0050359783141457</v>
      </c>
      <c r="S67" s="41">
        <v>0.008161983474026</v>
      </c>
      <c r="T67" s="41">
        <v>0.0011847749696138</v>
      </c>
    </row>
    <row r="68">
      <c r="A68" s="41">
        <v>6425.0</v>
      </c>
      <c r="B68" s="41">
        <v>233.412148413997</v>
      </c>
      <c r="C68" s="41">
        <v>0.0036929831673143</v>
      </c>
      <c r="D68" s="41">
        <v>0.00275275315272</v>
      </c>
      <c r="E68" s="41">
        <v>0.0044440160552099</v>
      </c>
      <c r="F68" s="41">
        <v>6.475734452972E-4</v>
      </c>
      <c r="H68" s="41">
        <v>8201.0</v>
      </c>
      <c r="I68" s="41">
        <v>277.199467940998</v>
      </c>
      <c r="J68" s="43">
        <v>3.6729165829782E-5</v>
      </c>
      <c r="K68" s="41">
        <v>0.0032687058310347</v>
      </c>
      <c r="L68" s="41">
        <v>0.0052906861769899</v>
      </c>
      <c r="M68" s="41">
        <v>7.689935659639E-4</v>
      </c>
      <c r="O68" s="41">
        <v>9344.0</v>
      </c>
      <c r="P68" s="41">
        <v>398.670510060001</v>
      </c>
      <c r="Q68" s="41">
        <v>0.0063231090114837</v>
      </c>
      <c r="R68" s="41">
        <v>0.0047018635797748</v>
      </c>
      <c r="S68" s="41">
        <v>0.0076230238761919</v>
      </c>
      <c r="T68" s="41">
        <v>0.0011061604184971</v>
      </c>
    </row>
    <row r="69">
      <c r="A69" s="41">
        <v>7524.0</v>
      </c>
      <c r="B69" s="41">
        <v>312.193895024</v>
      </c>
      <c r="C69" s="41">
        <v>0.0049474277443994</v>
      </c>
      <c r="D69" s="41">
        <v>0.0036819162825257</v>
      </c>
      <c r="E69" s="41">
        <v>0.005960823657544</v>
      </c>
      <c r="F69" s="41">
        <v>8.661946314833E-4</v>
      </c>
      <c r="H69" s="41">
        <v>9253.0</v>
      </c>
      <c r="I69" s="41">
        <v>336.157430596002</v>
      </c>
      <c r="J69" s="41">
        <v>0.0053277822088919</v>
      </c>
      <c r="K69" s="41">
        <v>0.0039643037807437</v>
      </c>
      <c r="L69" s="41">
        <v>0.0064199065248099</v>
      </c>
      <c r="M69" s="41">
        <v>9.326431256277E-4</v>
      </c>
      <c r="O69" s="41">
        <v>9660.0</v>
      </c>
      <c r="P69" s="41">
        <v>407.262666348</v>
      </c>
      <c r="Q69" s="43">
        <v>5.40060569517963E-5</v>
      </c>
      <c r="R69" s="41">
        <v>0.0048031926964146</v>
      </c>
      <c r="S69" s="41">
        <v>0.007783165393194</v>
      </c>
      <c r="T69" s="41">
        <v>0.0011299709147555</v>
      </c>
    </row>
    <row r="70">
      <c r="A70" s="41">
        <v>8086.0</v>
      </c>
      <c r="B70" s="41">
        <v>380.740742181002</v>
      </c>
      <c r="C70" s="41">
        <v>0.0060427700181191</v>
      </c>
      <c r="D70" s="41">
        <v>0.0044903633924049</v>
      </c>
      <c r="E70" s="41">
        <v>0.0072887955532539</v>
      </c>
      <c r="F70" s="41">
        <v>0.0010564150196694</v>
      </c>
      <c r="H70" s="41">
        <v>8263.0</v>
      </c>
      <c r="I70" s="41">
        <v>288.847964144999</v>
      </c>
      <c r="J70" s="41">
        <v>0.0045807303768665</v>
      </c>
      <c r="K70" s="41">
        <v>0.0034064977828542</v>
      </c>
      <c r="L70" s="41">
        <v>0.0055221227510279</v>
      </c>
      <c r="M70" s="41">
        <v>8.014045028472E-4</v>
      </c>
      <c r="O70" s="41">
        <v>9329.0</v>
      </c>
      <c r="P70" s="41">
        <v>406.983743193999</v>
      </c>
      <c r="Q70" s="41">
        <v>0.0064575915439492</v>
      </c>
      <c r="R70" s="41">
        <v>0.0047998748571667</v>
      </c>
      <c r="S70" s="41">
        <v>0.0077876112300839</v>
      </c>
      <c r="T70" s="41">
        <v>0.0011292189423472</v>
      </c>
    </row>
    <row r="71">
      <c r="A71" s="41">
        <v>8119.0</v>
      </c>
      <c r="B71" s="41">
        <v>361.999344013998</v>
      </c>
      <c r="C71" s="41">
        <v>0.0057436758959066</v>
      </c>
      <c r="D71" s="41">
        <v>0.0042692490227681</v>
      </c>
      <c r="E71" s="41">
        <v>0.006926616374622</v>
      </c>
      <c r="F71" s="41">
        <v>0.0010043964980194</v>
      </c>
      <c r="H71" s="41">
        <v>8895.0</v>
      </c>
      <c r="I71" s="41">
        <v>313.587499928999</v>
      </c>
      <c r="J71" s="41">
        <v>0.0049673333682533</v>
      </c>
      <c r="K71" s="41">
        <v>0.0036982921682194</v>
      </c>
      <c r="L71" s="41">
        <v>0.0059828692307359</v>
      </c>
      <c r="M71" s="41">
        <v>8.700551238444E-4</v>
      </c>
      <c r="O71" s="41">
        <v>10270.0</v>
      </c>
      <c r="P71" s="41">
        <v>457.101426795001</v>
      </c>
      <c r="Q71" s="41">
        <v>0.007254879126357</v>
      </c>
      <c r="R71" s="41">
        <v>0.0053912962731113</v>
      </c>
      <c r="S71" s="41">
        <v>0.0087505658893359</v>
      </c>
      <c r="T71" s="41">
        <v>0.0012683780678861</v>
      </c>
    </row>
    <row r="72">
      <c r="A72" s="41">
        <v>8169.0</v>
      </c>
      <c r="B72" s="41">
        <v>385.289019726002</v>
      </c>
      <c r="C72" s="41">
        <v>0.0061149306193094</v>
      </c>
      <c r="D72" s="41">
        <v>0.0045445785181366</v>
      </c>
      <c r="E72" s="41">
        <v>0.0073750956222939</v>
      </c>
      <c r="F72" s="41">
        <v>0.0010691776645611</v>
      </c>
      <c r="H72" s="41">
        <v>8656.0</v>
      </c>
      <c r="I72" s="41">
        <v>314.322240846999</v>
      </c>
      <c r="J72" s="43">
        <v>4.16826411763252E-5</v>
      </c>
      <c r="K72" s="41">
        <v>0.0037068642003124</v>
      </c>
      <c r="L72" s="41">
        <v>0.00600750063933</v>
      </c>
      <c r="M72" s="41">
        <v>8.720925396777E-4</v>
      </c>
      <c r="O72" s="41">
        <v>9507.0</v>
      </c>
      <c r="P72" s="41">
        <v>419.592278786</v>
      </c>
      <c r="Q72" s="41">
        <v>0.0066540416977235</v>
      </c>
      <c r="R72" s="41">
        <v>0.0049488213078799</v>
      </c>
      <c r="S72" s="41">
        <v>0.0080208958611559</v>
      </c>
      <c r="T72" s="41">
        <v>0.0011642717339694</v>
      </c>
    </row>
    <row r="73">
      <c r="A73" s="41">
        <v>6844.0</v>
      </c>
      <c r="B73" s="41">
        <v>258.898967198001</v>
      </c>
      <c r="C73" s="41">
        <v>0.0040972099786827</v>
      </c>
      <c r="D73" s="41">
        <v>0.0030533995095799</v>
      </c>
      <c r="E73" s="41">
        <v>0.0049312161671919</v>
      </c>
      <c r="F73" s="41">
        <v>7.18353586525E-4</v>
      </c>
      <c r="H73" s="41">
        <v>8784.0</v>
      </c>
      <c r="I73" s="41">
        <v>309.005645377001</v>
      </c>
      <c r="J73" s="43">
        <v>4.09999001358386E-5</v>
      </c>
      <c r="K73" s="41">
        <v>0.0036450187476888</v>
      </c>
      <c r="L73" s="41">
        <v>0.0059105036172879</v>
      </c>
      <c r="M73" s="41">
        <v>8.575340799916E-4</v>
      </c>
      <c r="O73" s="41">
        <v>9547.0</v>
      </c>
      <c r="P73" s="41">
        <v>402.155842413998</v>
      </c>
      <c r="Q73" s="41">
        <v>0.0063791307262726</v>
      </c>
      <c r="R73" s="41">
        <v>0.0047433347504824</v>
      </c>
      <c r="S73" s="41">
        <v>0.00769079643041</v>
      </c>
      <c r="T73" s="41">
        <v>0.0011159135876583</v>
      </c>
    </row>
    <row r="74">
      <c r="A74" s="41">
        <v>7156.0</v>
      </c>
      <c r="B74" s="41">
        <v>287.403135549</v>
      </c>
      <c r="C74" s="41">
        <v>0.0045540635591957</v>
      </c>
      <c r="D74" s="41">
        <v>0.0033897697696437</v>
      </c>
      <c r="E74" s="41">
        <v>0.0054861104999959</v>
      </c>
      <c r="F74" s="41">
        <v>7.97501222886E-4</v>
      </c>
      <c r="H74" s="41">
        <v>8820.0</v>
      </c>
      <c r="I74" s="41">
        <v>313.805151804001</v>
      </c>
      <c r="J74" s="43">
        <v>4.16209756087037E-5</v>
      </c>
      <c r="K74" s="41">
        <v>0.0037008941096299</v>
      </c>
      <c r="L74" s="41">
        <v>0.00599921174381</v>
      </c>
      <c r="M74" s="41">
        <v>8.706898527E-4</v>
      </c>
      <c r="O74" s="41">
        <v>9614.0</v>
      </c>
      <c r="P74" s="41">
        <v>414.574916115001</v>
      </c>
      <c r="Q74" s="41">
        <v>0.0065775523781909</v>
      </c>
      <c r="R74" s="41">
        <v>0.0048895489943105</v>
      </c>
      <c r="S74" s="41">
        <v>0.0079316374564161</v>
      </c>
      <c r="T74" s="41">
        <v>0.0011503298916028</v>
      </c>
    </row>
    <row r="75">
      <c r="A75" s="41">
        <v>8379.0</v>
      </c>
      <c r="B75" s="41">
        <v>402.131568513999</v>
      </c>
      <c r="C75" s="41">
        <v>0.0063826063063555</v>
      </c>
      <c r="D75" s="41">
        <v>0.0047425618562965</v>
      </c>
      <c r="E75" s="41">
        <v>0.007699126159296</v>
      </c>
      <c r="F75" s="41">
        <v>0.0011157393051805</v>
      </c>
      <c r="H75" s="41">
        <v>8816.0</v>
      </c>
      <c r="I75" s="41">
        <v>324.431945895998</v>
      </c>
      <c r="J75" s="43">
        <v>4.30476182918386E-5</v>
      </c>
      <c r="K75" s="41">
        <v>0.0038261917223714</v>
      </c>
      <c r="L75" s="41">
        <v>0.0062067769098619</v>
      </c>
      <c r="M75" s="41">
        <v>9.001623658722E-4</v>
      </c>
      <c r="O75" s="41">
        <v>10928.0</v>
      </c>
      <c r="P75" s="41">
        <v>532.210484760002</v>
      </c>
      <c r="Q75" s="41">
        <v>0.0084456875314118</v>
      </c>
      <c r="R75" s="41">
        <v>0.0062772617260098</v>
      </c>
      <c r="S75" s="41">
        <v>0.0101855950929139</v>
      </c>
      <c r="T75" s="41">
        <v>0.001476804408036</v>
      </c>
    </row>
    <row r="76">
      <c r="A76" s="41">
        <v>8024.0</v>
      </c>
      <c r="B76" s="41">
        <v>365.920606620002</v>
      </c>
      <c r="C76" s="41">
        <v>0.0058048316898698</v>
      </c>
      <c r="D76" s="41">
        <v>0.0043156851017126</v>
      </c>
      <c r="E76" s="41">
        <v>0.006999160877102</v>
      </c>
      <c r="F76" s="41">
        <v>0.0010153182154527</v>
      </c>
      <c r="H76" s="41">
        <v>8115.0</v>
      </c>
      <c r="I76" s="41">
        <v>272.022328547998</v>
      </c>
      <c r="J76" s="43">
        <v>3.60506947388618E-5</v>
      </c>
      <c r="K76" s="41">
        <v>0.0032080423184632</v>
      </c>
      <c r="L76" s="41">
        <v>0.0051933158213159</v>
      </c>
      <c r="M76" s="41">
        <v>7.547109714222E-4</v>
      </c>
      <c r="O76" s="41">
        <v>9045.0</v>
      </c>
      <c r="P76" s="41">
        <v>373.736885009999</v>
      </c>
      <c r="Q76" s="41">
        <v>0.0059248186614526</v>
      </c>
      <c r="R76" s="41">
        <v>0.0044079101334693</v>
      </c>
      <c r="S76" s="41">
        <v>0.00714012237876</v>
      </c>
      <c r="T76" s="41">
        <v>0.0010369985136416</v>
      </c>
    </row>
    <row r="77">
      <c r="A77" s="41">
        <v>8069.0</v>
      </c>
      <c r="B77" s="41">
        <v>371.411229521003</v>
      </c>
      <c r="C77" s="41">
        <v>0.0058919113209885</v>
      </c>
      <c r="D77" s="41">
        <v>0.0043806112478104</v>
      </c>
      <c r="E77" s="41">
        <v>0.00710391679424</v>
      </c>
      <c r="F77" s="41">
        <v>0.0010306038148527</v>
      </c>
      <c r="H77" s="41">
        <v>8637.0</v>
      </c>
      <c r="I77" s="41">
        <v>308.666325622998</v>
      </c>
      <c r="J77" s="41">
        <v>0.0048939098606761</v>
      </c>
      <c r="K77" s="41">
        <v>0.003640249181104</v>
      </c>
      <c r="L77" s="41">
        <v>0.00589859360776</v>
      </c>
      <c r="M77" s="41">
        <v>8.564133284472E-4</v>
      </c>
      <c r="O77" s="41">
        <v>10129.0</v>
      </c>
      <c r="P77" s="41">
        <v>458.854383428999</v>
      </c>
      <c r="Q77" s="41">
        <v>0.0072802188382397</v>
      </c>
      <c r="R77" s="41">
        <v>0.0054116932457771</v>
      </c>
      <c r="S77" s="41">
        <v>0.00877922091226</v>
      </c>
      <c r="T77" s="41">
        <v>0.0012731506833861</v>
      </c>
    </row>
    <row r="78">
      <c r="A78" s="41">
        <v>7627.0</v>
      </c>
      <c r="B78" s="41">
        <v>326.327060767998</v>
      </c>
      <c r="C78" s="41">
        <v>0.0051736563427636</v>
      </c>
      <c r="D78" s="41">
        <v>0.0038487415902549</v>
      </c>
      <c r="E78" s="41">
        <v>0.0062352588770919</v>
      </c>
      <c r="F78" s="41">
        <v>9.054709935249E-4</v>
      </c>
      <c r="H78" s="41">
        <v>8789.0</v>
      </c>
      <c r="I78" s="41">
        <v>311.264984047</v>
      </c>
      <c r="J78" s="41">
        <v>0.0049368343694556</v>
      </c>
      <c r="K78" s="41">
        <v>0.0036711360033097</v>
      </c>
      <c r="L78" s="41">
        <v>0.0059516014279439</v>
      </c>
      <c r="M78" s="41">
        <v>8.636955313972E-4</v>
      </c>
      <c r="O78" s="41">
        <v>10506.0</v>
      </c>
      <c r="P78" s="41">
        <v>486.423715398999</v>
      </c>
      <c r="Q78" s="41">
        <v>0.0077219118885869</v>
      </c>
      <c r="R78" s="41">
        <v>0.005736920897113</v>
      </c>
      <c r="S78" s="41">
        <v>0.0093156749525339</v>
      </c>
      <c r="T78" s="41">
        <v>0.001349678422336</v>
      </c>
    </row>
    <row r="79">
      <c r="A79" s="41">
        <v>6546.0</v>
      </c>
      <c r="B79" s="41">
        <v>242.634075663998</v>
      </c>
      <c r="C79" s="41">
        <v>0.0038335460480574</v>
      </c>
      <c r="D79" s="41">
        <v>0.0028616277496761</v>
      </c>
      <c r="E79" s="41">
        <v>0.004608062297558</v>
      </c>
      <c r="F79" s="41">
        <v>6.732251558583E-4</v>
      </c>
      <c r="H79" s="41">
        <v>8011.0</v>
      </c>
      <c r="I79" s="41">
        <v>264.928964310001</v>
      </c>
      <c r="J79" s="41">
        <v>0.0041964632043625</v>
      </c>
      <c r="K79" s="41">
        <v>0.0031237038735458</v>
      </c>
      <c r="L79" s="41">
        <v>0.0050551990441559</v>
      </c>
      <c r="M79" s="41">
        <v>7.348921946166E-4</v>
      </c>
      <c r="O79" s="41">
        <v>8874.0</v>
      </c>
      <c r="P79" s="41">
        <v>360.761968832994</v>
      </c>
      <c r="Q79" s="41">
        <v>0.0057193550556891</v>
      </c>
      <c r="R79" s="41">
        <v>0.0042548866419484</v>
      </c>
      <c r="S79" s="41">
        <v>0.0068926880141461</v>
      </c>
      <c r="T79" s="41">
        <v>0.0010010268348028</v>
      </c>
    </row>
    <row r="80">
      <c r="A80" s="41">
        <v>6720.0</v>
      </c>
      <c r="B80" s="41">
        <v>246.308052737</v>
      </c>
      <c r="C80" s="41">
        <v>0.0038964171358813</v>
      </c>
      <c r="D80" s="41">
        <v>0.0029049464739737</v>
      </c>
      <c r="E80" s="41">
        <v>0.0046880904171359</v>
      </c>
      <c r="F80" s="41">
        <v>6.834241023444E-4</v>
      </c>
      <c r="H80" s="41">
        <v>8800.0</v>
      </c>
      <c r="I80" s="41">
        <v>307.524719862998</v>
      </c>
      <c r="J80" s="43">
        <v>4.07849101024925E-5</v>
      </c>
      <c r="K80" s="41">
        <v>0.0036265649561036</v>
      </c>
      <c r="L80" s="41">
        <v>0.0058786983140659</v>
      </c>
      <c r="M80" s="41">
        <v>8.531905210138E-4</v>
      </c>
      <c r="O80" s="41">
        <v>9869.0</v>
      </c>
      <c r="P80" s="41">
        <v>429.765174474996</v>
      </c>
      <c r="Q80" s="41">
        <v>0.0068190547093978</v>
      </c>
      <c r="R80" s="41">
        <v>0.0050688683687394</v>
      </c>
      <c r="S80" s="41">
        <v>0.008223180745206</v>
      </c>
      <c r="T80" s="41">
        <v>0.0011924473725416</v>
      </c>
    </row>
    <row r="81">
      <c r="A81" s="41">
        <v>6873.0</v>
      </c>
      <c r="B81" s="41">
        <v>262.919906748997</v>
      </c>
      <c r="C81" s="41">
        <v>0.00416196560432</v>
      </c>
      <c r="D81" s="41">
        <v>0.0031009709509847</v>
      </c>
      <c r="E81" s="41">
        <v>0.0050100559524859</v>
      </c>
      <c r="F81" s="41">
        <v>7.294911363055E-4</v>
      </c>
      <c r="H81" s="41">
        <v>8750.0</v>
      </c>
      <c r="I81" s="41">
        <v>309.180324131</v>
      </c>
      <c r="J81" s="41">
        <v>0.0049001006898301</v>
      </c>
      <c r="K81" s="41">
        <v>0.0036464383408818</v>
      </c>
      <c r="L81" s="41">
        <v>0.0059041011121659</v>
      </c>
      <c r="M81" s="41">
        <v>8.578667337305E-4</v>
      </c>
      <c r="O81" s="41">
        <v>11349.0</v>
      </c>
      <c r="P81" s="41">
        <v>557.230727046</v>
      </c>
      <c r="Q81" s="41">
        <v>0.0088516229774652</v>
      </c>
      <c r="R81" s="41">
        <v>0.0065718345093852</v>
      </c>
      <c r="S81" s="41">
        <v>0.0106839963249679</v>
      </c>
      <c r="T81" s="41">
        <v>0.001546086349286</v>
      </c>
    </row>
    <row r="82">
      <c r="A82" s="41">
        <v>7006.0</v>
      </c>
      <c r="B82" s="41">
        <v>292.660035136999</v>
      </c>
      <c r="C82" s="41">
        <v>0.0046358459180777</v>
      </c>
      <c r="D82" s="41">
        <v>0.0034517377204186</v>
      </c>
      <c r="E82" s="41">
        <v>0.0055832894666279</v>
      </c>
      <c r="F82" s="41">
        <v>8.120699215527E-4</v>
      </c>
      <c r="H82" s="41">
        <v>8498.0</v>
      </c>
      <c r="I82" s="41">
        <v>307.705036757</v>
      </c>
      <c r="J82" s="43">
        <v>4.08078546098172E-5</v>
      </c>
      <c r="K82" s="41">
        <v>0.0036290197614514</v>
      </c>
      <c r="L82" s="41">
        <v>0.0058814863718519</v>
      </c>
      <c r="M82" s="41">
        <v>8.537750489E-4</v>
      </c>
      <c r="O82" s="41">
        <v>10882.0</v>
      </c>
      <c r="P82" s="41">
        <v>539.353908444005</v>
      </c>
      <c r="Q82" s="43">
        <v>7.16398447348329E-5</v>
      </c>
      <c r="R82" s="41">
        <v>0.0063610371620586</v>
      </c>
      <c r="S82" s="41">
        <v>0.010337331047636</v>
      </c>
      <c r="T82" s="41">
        <v>0.0014965479842722</v>
      </c>
    </row>
    <row r="83">
      <c r="A83" s="41">
        <v>6146.0</v>
      </c>
      <c r="B83" s="41">
        <v>216.098688876998</v>
      </c>
      <c r="C83" s="41">
        <v>0.0034135823631323</v>
      </c>
      <c r="D83" s="41">
        <v>0.0025487665608917</v>
      </c>
      <c r="E83" s="41">
        <v>0.00410248383754</v>
      </c>
      <c r="F83" s="41">
        <v>5.996111728916E-4</v>
      </c>
      <c r="H83" s="41">
        <v>8306.0</v>
      </c>
      <c r="I83" s="41">
        <v>290.660757581001</v>
      </c>
      <c r="J83" s="43">
        <v>3.85062353972171E-5</v>
      </c>
      <c r="K83" s="41">
        <v>0.0034279521399487</v>
      </c>
      <c r="L83" s="41">
        <v>0.005545291658452</v>
      </c>
      <c r="M83" s="41">
        <v>8.064776483833E-4</v>
      </c>
      <c r="O83" s="41">
        <v>10223.0</v>
      </c>
      <c r="P83" s="41">
        <v>480.906721949999</v>
      </c>
      <c r="Q83" s="41">
        <v>0.0076270241912995</v>
      </c>
      <c r="R83" s="41">
        <v>0.0056717025948592</v>
      </c>
      <c r="S83" s="41">
        <v>0.009194673189066</v>
      </c>
      <c r="T83" s="41">
        <v>0.0013343455490445</v>
      </c>
    </row>
    <row r="84">
      <c r="A84" s="41">
        <v>7315.0</v>
      </c>
      <c r="B84" s="41">
        <v>312.481252785</v>
      </c>
      <c r="C84" s="41">
        <v>0.004952074726926</v>
      </c>
      <c r="D84" s="41">
        <v>0.0036852102791554</v>
      </c>
      <c r="E84" s="41">
        <v>0.0059665853288199</v>
      </c>
      <c r="F84" s="41">
        <v>8.670097161888E-4</v>
      </c>
      <c r="H84" s="41">
        <v>8556.0</v>
      </c>
      <c r="I84" s="41">
        <v>304.645792802999</v>
      </c>
      <c r="J84" s="43">
        <v>4.04158792615704E-5</v>
      </c>
      <c r="K84" s="41">
        <v>0.0035924803827444</v>
      </c>
      <c r="L84" s="41">
        <v>0.0058270918838919</v>
      </c>
      <c r="M84" s="41">
        <v>8.451559553694E-4</v>
      </c>
      <c r="O84" s="41">
        <v>9598.0</v>
      </c>
      <c r="P84" s="41">
        <v>424.839730965999</v>
      </c>
      <c r="Q84" s="41">
        <v>0.0067398588022546</v>
      </c>
      <c r="R84" s="41">
        <v>0.0050098942880115</v>
      </c>
      <c r="S84" s="41">
        <v>0.0081277976133439</v>
      </c>
      <c r="T84" s="41">
        <v>0.0011785829052</v>
      </c>
    </row>
    <row r="85">
      <c r="A85" s="41">
        <v>6822.0</v>
      </c>
      <c r="B85" s="41">
        <v>257.214163665001</v>
      </c>
      <c r="C85" s="41">
        <v>0.0040694083997074</v>
      </c>
      <c r="D85" s="41">
        <v>0.0030335786728285</v>
      </c>
      <c r="E85" s="41">
        <v>0.004896637528418</v>
      </c>
      <c r="F85" s="41">
        <v>7.136991476666E-4</v>
      </c>
      <c r="H85" s="41">
        <v>8816.0</v>
      </c>
      <c r="I85" s="41">
        <v>309.311172689998</v>
      </c>
      <c r="J85" s="43">
        <v>4.10103747925644E-5</v>
      </c>
      <c r="K85" s="41">
        <v>0.0036479231761556</v>
      </c>
      <c r="L85" s="41">
        <v>0.005909560838756</v>
      </c>
      <c r="M85" s="41">
        <v>8.582327582861E-4</v>
      </c>
      <c r="O85" s="41">
        <v>10020.0</v>
      </c>
      <c r="P85" s="41">
        <v>446.397467763003</v>
      </c>
      <c r="Q85" s="41">
        <v>0.0070760420228358</v>
      </c>
      <c r="R85" s="41">
        <v>0.0052648259800638</v>
      </c>
      <c r="S85" s="41">
        <v>0.0085269312659839</v>
      </c>
      <c r="T85" s="41">
        <v>0.0012386113586721</v>
      </c>
    </row>
    <row r="86">
      <c r="A86" s="41">
        <v>6686.0</v>
      </c>
      <c r="B86" s="41">
        <v>229.930137630999</v>
      </c>
      <c r="C86" s="41">
        <v>0.0036361572484671</v>
      </c>
      <c r="D86" s="41">
        <v>0.0027118656515361</v>
      </c>
      <c r="E86" s="41">
        <v>0.004373781832356</v>
      </c>
      <c r="F86" s="41">
        <v>6.379900486166E-4</v>
      </c>
      <c r="H86" s="41">
        <v>9342.0</v>
      </c>
      <c r="I86" s="41">
        <v>334.217893601999</v>
      </c>
      <c r="J86" s="43">
        <v>4.4230931425356E-5</v>
      </c>
      <c r="K86" s="41">
        <v>0.0039408055136612</v>
      </c>
      <c r="L86" s="41">
        <v>0.00636573842592</v>
      </c>
      <c r="M86" s="41">
        <v>9.271220942333E-4</v>
      </c>
      <c r="O86" s="41">
        <v>10663.0</v>
      </c>
      <c r="P86" s="41">
        <v>491.192868824</v>
      </c>
      <c r="Q86" s="41">
        <v>0.0077910546961908</v>
      </c>
      <c r="R86" s="41">
        <v>0.0057931702716508</v>
      </c>
      <c r="S86" s="41">
        <v>0.009393060847776</v>
      </c>
      <c r="T86" s="41">
        <v>0.0013629108338527</v>
      </c>
    </row>
    <row r="87">
      <c r="A87" s="41">
        <v>7672.0</v>
      </c>
      <c r="B87" s="41">
        <v>319.358287906001</v>
      </c>
      <c r="C87" s="41">
        <v>0.005063334449386</v>
      </c>
      <c r="D87" s="41">
        <v>0.0037666300838067</v>
      </c>
      <c r="E87" s="41">
        <v>0.0061023607152179</v>
      </c>
      <c r="F87" s="41">
        <v>8.86143624661E-4</v>
      </c>
      <c r="H87" s="41">
        <v>8999.0</v>
      </c>
      <c r="I87" s="41">
        <v>317.924310956001</v>
      </c>
      <c r="J87" s="43">
        <v>4.2038683472765E-5</v>
      </c>
      <c r="K87" s="41">
        <v>0.0037492097174756</v>
      </c>
      <c r="L87" s="41">
        <v>0.00604565205874</v>
      </c>
      <c r="M87" s="41">
        <v>8.82022372861E-4</v>
      </c>
      <c r="O87" s="41">
        <v>9954.0</v>
      </c>
      <c r="P87" s="41">
        <v>438.136414988002</v>
      </c>
      <c r="Q87" s="41">
        <v>0.0069486966206792</v>
      </c>
      <c r="R87" s="41">
        <v>0.0051670731555609</v>
      </c>
      <c r="S87" s="41">
        <v>0.008377204757314</v>
      </c>
      <c r="T87" s="41">
        <v>0.0012155936642194</v>
      </c>
    </row>
    <row r="88">
      <c r="A88" s="41">
        <v>7882.0</v>
      </c>
      <c r="B88" s="41">
        <v>352.427865579</v>
      </c>
      <c r="C88" s="41">
        <v>0.0055866747094496</v>
      </c>
      <c r="D88" s="41">
        <v>0.0041567182832938</v>
      </c>
      <c r="E88" s="41">
        <v>0.0067321334412579</v>
      </c>
      <c r="F88" s="41">
        <v>9.779206726028E-4</v>
      </c>
      <c r="H88" s="41">
        <v>8468.0</v>
      </c>
      <c r="I88" s="41">
        <v>287.380484135002</v>
      </c>
      <c r="J88" s="43">
        <v>3.80979215186827E-5</v>
      </c>
      <c r="K88" s="41">
        <v>0.0033892538300916</v>
      </c>
      <c r="L88" s="41">
        <v>0.0054894060581879</v>
      </c>
      <c r="M88" s="41">
        <v>7.973589775138E-4</v>
      </c>
      <c r="O88" s="41">
        <v>9880.0</v>
      </c>
      <c r="P88" s="41">
        <v>447.211728731999</v>
      </c>
      <c r="Q88" s="41">
        <v>0.0070939347805877</v>
      </c>
      <c r="R88" s="41">
        <v>0.0052742170778119</v>
      </c>
      <c r="S88" s="41">
        <v>0.0085533312871038</v>
      </c>
      <c r="T88" s="41">
        <v>0.0012408266201361</v>
      </c>
    </row>
    <row r="89">
      <c r="A89" s="41">
        <v>7670.0</v>
      </c>
      <c r="B89" s="41">
        <v>337.230703347999</v>
      </c>
      <c r="C89" s="41">
        <v>0.0053463601541848</v>
      </c>
      <c r="D89" s="41">
        <v>0.0039773267567562</v>
      </c>
      <c r="E89" s="41">
        <v>0.006443338765778</v>
      </c>
      <c r="F89" s="41">
        <v>9.356497101417E-4</v>
      </c>
      <c r="H89" s="41">
        <v>9019.0</v>
      </c>
      <c r="I89" s="41">
        <v>331.680821058002</v>
      </c>
      <c r="J89" s="43">
        <v>4.39543655306345E-5</v>
      </c>
      <c r="K89" s="41">
        <v>0.0039117420551901</v>
      </c>
      <c r="L89" s="41">
        <v>0.0063313945095561</v>
      </c>
      <c r="M89" s="41">
        <v>9.202879254805E-4</v>
      </c>
      <c r="O89" s="41">
        <v>9734.0</v>
      </c>
      <c r="P89" s="41">
        <v>438.872674778998</v>
      </c>
      <c r="Q89" s="43">
        <v>5.82196365686828E-5</v>
      </c>
      <c r="R89" s="41">
        <v>0.0051762776920387</v>
      </c>
      <c r="S89" s="41">
        <v>0.008392535047356</v>
      </c>
      <c r="T89" s="41">
        <v>0.0012176711248749</v>
      </c>
    </row>
    <row r="90">
      <c r="A90" s="41">
        <v>7020.0</v>
      </c>
      <c r="B90" s="41">
        <v>290.854105356</v>
      </c>
      <c r="C90" s="41">
        <v>0.0046008758269429</v>
      </c>
      <c r="D90" s="41">
        <v>0.0034301977607804</v>
      </c>
      <c r="E90" s="41">
        <v>0.0055356285951659</v>
      </c>
      <c r="F90" s="41">
        <v>8.069900519166E-4</v>
      </c>
      <c r="H90" s="41">
        <v>7996.0</v>
      </c>
      <c r="I90" s="41">
        <v>268.638626771</v>
      </c>
      <c r="J90" s="43">
        <v>3.55750255620576E-5</v>
      </c>
      <c r="K90" s="41">
        <v>0.0031674101409874</v>
      </c>
      <c r="L90" s="41">
        <v>0.00512268326481</v>
      </c>
      <c r="M90" s="41">
        <v>7.451663870694E-4</v>
      </c>
      <c r="O90" s="41">
        <v>9699.0</v>
      </c>
      <c r="P90" s="41">
        <v>448.350446233998</v>
      </c>
      <c r="Q90" s="41">
        <v>0.0071104499943906</v>
      </c>
      <c r="R90" s="41">
        <v>0.0052877053985193</v>
      </c>
      <c r="S90" s="41">
        <v>0.0085717679685198</v>
      </c>
      <c r="T90" s="41">
        <v>0.0012439819284805</v>
      </c>
    </row>
    <row r="91">
      <c r="A91" s="41">
        <v>7673.0</v>
      </c>
      <c r="B91" s="41">
        <v>339.787535351999</v>
      </c>
      <c r="C91" s="41">
        <v>0.0053885036126739</v>
      </c>
      <c r="D91" s="41">
        <v>0.0040068070650727</v>
      </c>
      <c r="E91" s="41">
        <v>0.0064964413082601</v>
      </c>
      <c r="F91" s="41">
        <v>9.425846594527E-4</v>
      </c>
      <c r="H91" s="41">
        <v>8833.0</v>
      </c>
      <c r="I91" s="41">
        <v>321.292898586998</v>
      </c>
      <c r="J91" s="43">
        <v>4.26251304826545E-5</v>
      </c>
      <c r="K91" s="41">
        <v>0.0037890549170091</v>
      </c>
      <c r="L91" s="41">
        <v>0.006145366582956</v>
      </c>
      <c r="M91" s="41">
        <v>8.914070561889E-4</v>
      </c>
      <c r="O91" s="41">
        <v>9844.0</v>
      </c>
      <c r="P91" s="41">
        <v>450.018442748994</v>
      </c>
      <c r="Q91" s="41">
        <v>0.0071414488592199</v>
      </c>
      <c r="R91" s="41">
        <v>0.0053067490091422</v>
      </c>
      <c r="S91" s="41">
        <v>0.0086140852245958</v>
      </c>
      <c r="T91" s="41">
        <v>0.0012484663978055</v>
      </c>
    </row>
    <row r="92">
      <c r="A92" s="41">
        <v>7137.0</v>
      </c>
      <c r="B92" s="41">
        <v>299.639822904999</v>
      </c>
      <c r="C92" s="41">
        <v>0.0047485844622517</v>
      </c>
      <c r="D92" s="41">
        <v>0.0035340383677569</v>
      </c>
      <c r="E92" s="41">
        <v>0.005721111243552</v>
      </c>
      <c r="F92" s="41">
        <v>8.314177928916E-4</v>
      </c>
      <c r="H92" s="41">
        <v>8740.0</v>
      </c>
      <c r="I92" s="41">
        <v>318.612092092997</v>
      </c>
      <c r="J92" s="43">
        <v>4.22403830874179E-5</v>
      </c>
      <c r="K92" s="41">
        <v>0.003757515874645</v>
      </c>
      <c r="L92" s="41">
        <v>0.006086592924826</v>
      </c>
      <c r="M92" s="41">
        <v>8.840025346805E-4</v>
      </c>
      <c r="O92" s="41">
        <v>8739.0</v>
      </c>
      <c r="P92" s="41">
        <v>356.78555203</v>
      </c>
      <c r="Q92" s="41">
        <v>0.0056566447894193</v>
      </c>
      <c r="R92" s="41">
        <v>0.0042080752216218</v>
      </c>
      <c r="S92" s="41">
        <v>0.006817371565004</v>
      </c>
      <c r="T92" s="41">
        <v>9.899505183306E-4</v>
      </c>
    </row>
    <row r="93">
      <c r="A93" s="41">
        <v>6835.0</v>
      </c>
      <c r="B93" s="41">
        <v>270.694955556999</v>
      </c>
      <c r="C93" s="41">
        <v>0.0042812899945072</v>
      </c>
      <c r="D93" s="41">
        <v>0.003192141404352</v>
      </c>
      <c r="E93" s="41">
        <v>0.005150863009576</v>
      </c>
      <c r="F93" s="41">
        <v>7.50973054475E-4</v>
      </c>
      <c r="H93" s="41">
        <v>8320.0</v>
      </c>
      <c r="I93" s="41">
        <v>288.927717525999</v>
      </c>
      <c r="J93" s="41">
        <v>0.0045754492879976</v>
      </c>
      <c r="K93" s="41">
        <v>0.0034075756012943</v>
      </c>
      <c r="L93" s="41">
        <v>0.00550954190763</v>
      </c>
      <c r="M93" s="41">
        <v>8.016898566722E-4</v>
      </c>
      <c r="O93" s="41">
        <v>9416.0</v>
      </c>
      <c r="P93" s="41">
        <v>407.759558363002</v>
      </c>
      <c r="Q93" s="41">
        <v>0.0064665860704168</v>
      </c>
      <c r="R93" s="41">
        <v>0.0048084031280015</v>
      </c>
      <c r="S93" s="41">
        <v>0.0077961426257979</v>
      </c>
      <c r="T93" s="41">
        <v>0.0011312647372694</v>
      </c>
    </row>
    <row r="94">
      <c r="A94" s="41">
        <v>8224.0</v>
      </c>
      <c r="B94" s="41">
        <v>367.911347384</v>
      </c>
      <c r="C94" s="41">
        <v>0.0058366472738093</v>
      </c>
      <c r="D94" s="41">
        <v>0.0043392024181216</v>
      </c>
      <c r="E94" s="41">
        <v>0.007037680352362</v>
      </c>
      <c r="F94" s="41">
        <v>0.0010208615699222</v>
      </c>
      <c r="H94" s="41">
        <v>8720.0</v>
      </c>
      <c r="I94" s="41">
        <v>298.391994598998</v>
      </c>
      <c r="J94" s="41">
        <v>0.004730992903784</v>
      </c>
      <c r="K94" s="41">
        <v>0.0035194741494438</v>
      </c>
      <c r="L94" s="41">
        <v>0.005701742894724</v>
      </c>
      <c r="M94" s="41">
        <v>8.279837633888E-4</v>
      </c>
      <c r="O94" s="41">
        <v>9610.0</v>
      </c>
      <c r="P94" s="41">
        <v>399.708514655001</v>
      </c>
      <c r="Q94" s="41">
        <v>0.0063397010861505</v>
      </c>
      <c r="R94" s="41">
        <v>0.0047141519592486</v>
      </c>
      <c r="S94" s="41">
        <v>0.00764309500336</v>
      </c>
      <c r="T94" s="41">
        <v>0.0011090444840888</v>
      </c>
    </row>
    <row r="95">
      <c r="A95" s="41">
        <v>7347.0</v>
      </c>
      <c r="B95" s="41">
        <v>299.153847609999</v>
      </c>
      <c r="C95" s="41">
        <v>0.0047327841381286</v>
      </c>
      <c r="D95" s="41">
        <v>0.0035286851260527</v>
      </c>
      <c r="E95" s="41">
        <v>0.005694164833106</v>
      </c>
      <c r="F95" s="41">
        <v>8.301556466694E-4</v>
      </c>
      <c r="H95" s="41">
        <v>8355.0</v>
      </c>
      <c r="I95" s="41">
        <v>274.246006429999</v>
      </c>
      <c r="J95" s="43">
        <v>3.63288607802259E-5</v>
      </c>
      <c r="K95" s="41">
        <v>0.003234301781516</v>
      </c>
      <c r="L95" s="41">
        <v>0.0052314997407519</v>
      </c>
      <c r="M95" s="41">
        <v>7.609155339333E-4</v>
      </c>
      <c r="O95" s="41">
        <v>10765.0</v>
      </c>
      <c r="P95" s="41">
        <v>498.871427968995</v>
      </c>
      <c r="Q95" s="41">
        <v>0.0079149128060661</v>
      </c>
      <c r="R95" s="41">
        <v>0.0058831939589695</v>
      </c>
      <c r="S95" s="41">
        <v>0.009545013469338</v>
      </c>
      <c r="T95" s="41">
        <v>0.0013840241222499</v>
      </c>
    </row>
    <row r="96">
      <c r="A96" s="41">
        <v>8482.0</v>
      </c>
      <c r="B96" s="41">
        <v>388.374108617998</v>
      </c>
      <c r="C96" s="41">
        <v>0.0061560360590233</v>
      </c>
      <c r="D96" s="41">
        <v>0.004581124164779</v>
      </c>
      <c r="E96" s="41">
        <v>0.0074172762115939</v>
      </c>
      <c r="F96" s="41">
        <v>0.0010777643513749</v>
      </c>
      <c r="H96" s="41">
        <v>8934.0</v>
      </c>
      <c r="I96" s="41">
        <v>308.180891213</v>
      </c>
      <c r="J96" s="41">
        <v>0.0048874059354704</v>
      </c>
      <c r="K96" s="41">
        <v>0.0036348319534777</v>
      </c>
      <c r="L96" s="41">
        <v>0.0058914769354</v>
      </c>
      <c r="M96" s="41">
        <v>8.551321051055E-4</v>
      </c>
      <c r="O96" s="41">
        <v>12330.0</v>
      </c>
      <c r="P96" s="41">
        <v>621.716159281997</v>
      </c>
      <c r="Q96" s="41">
        <v>0.0098767849795114</v>
      </c>
      <c r="R96" s="41">
        <v>0.0073330303736743</v>
      </c>
      <c r="S96" s="41">
        <v>0.0119212962036959</v>
      </c>
      <c r="T96" s="41">
        <v>0.0017251586196555</v>
      </c>
    </row>
    <row r="97">
      <c r="A97" s="41">
        <v>7154.0</v>
      </c>
      <c r="B97" s="41">
        <v>296.959424771001</v>
      </c>
      <c r="C97" s="41">
        <v>0.0047032348965766</v>
      </c>
      <c r="D97" s="41">
        <v>0.0035023493337673</v>
      </c>
      <c r="E97" s="41">
        <v>0.005663927308916</v>
      </c>
      <c r="F97" s="41">
        <v>8.239628021916E-4</v>
      </c>
      <c r="H97" s="41">
        <v>8980.0</v>
      </c>
      <c r="I97" s="41">
        <v>325.029411076997</v>
      </c>
      <c r="J97" s="41">
        <v>0.005156693958065</v>
      </c>
      <c r="K97" s="41">
        <v>0.0038334273447624</v>
      </c>
      <c r="L97" s="41">
        <v>0.00621813691895</v>
      </c>
      <c r="M97" s="41">
        <v>9.018770416555E-4</v>
      </c>
      <c r="O97" s="41">
        <v>11211.0</v>
      </c>
      <c r="P97" s="41">
        <v>547.929948704004</v>
      </c>
      <c r="Q97" s="41">
        <v>0.0087029628206268</v>
      </c>
      <c r="R97" s="41">
        <v>0.0064621520183483</v>
      </c>
      <c r="S97" s="41">
        <v>0.0105037264585299</v>
      </c>
      <c r="T97" s="41">
        <v>0.001520266563675</v>
      </c>
    </row>
    <row r="98">
      <c r="A98" s="41">
        <v>9657.0</v>
      </c>
      <c r="B98" s="41">
        <v>499.351033372997</v>
      </c>
      <c r="C98" s="41">
        <v>0.007934204237895</v>
      </c>
      <c r="D98" s="41">
        <v>0.0058892448265686</v>
      </c>
      <c r="E98" s="41">
        <v>0.00957843266274</v>
      </c>
      <c r="F98" s="41">
        <v>0.0013855313943916</v>
      </c>
      <c r="H98" s="41">
        <v>8700.0</v>
      </c>
      <c r="I98" s="41">
        <v>315.358140296</v>
      </c>
      <c r="J98" s="41">
        <v>0.004996704052498</v>
      </c>
      <c r="K98" s="41">
        <v>0.0037187598709319</v>
      </c>
      <c r="L98" s="41">
        <v>0.006019962871522</v>
      </c>
      <c r="M98" s="41">
        <v>8.748806639944E-4</v>
      </c>
      <c r="O98" s="41">
        <v>9559.0</v>
      </c>
      <c r="P98" s="41">
        <v>414.243996315002</v>
      </c>
      <c r="Q98" s="41">
        <v>0.0065631055040569</v>
      </c>
      <c r="R98" s="41">
        <v>0.0048850687469716</v>
      </c>
      <c r="S98" s="41">
        <v>0.0079065066029779</v>
      </c>
      <c r="T98" s="41">
        <v>0.0011492540853888</v>
      </c>
    </row>
    <row r="99">
      <c r="A99" s="41">
        <v>7835.0</v>
      </c>
      <c r="B99" s="41">
        <v>345.929503645002</v>
      </c>
      <c r="C99" s="41">
        <v>0.005485179263095</v>
      </c>
      <c r="D99" s="41">
        <v>0.0040801365092089</v>
      </c>
      <c r="E99" s="41">
        <v>0.006611144733356</v>
      </c>
      <c r="F99" s="41">
        <v>9.599025578166E-4</v>
      </c>
      <c r="H99" s="41">
        <v>8901.0</v>
      </c>
      <c r="I99" s="41">
        <v>329.507645404999</v>
      </c>
      <c r="J99" s="41">
        <v>0.0052281997473859</v>
      </c>
      <c r="K99" s="41">
        <v>0.0038859793121388</v>
      </c>
      <c r="L99" s="41">
        <v>0.006305148655226</v>
      </c>
      <c r="M99" s="41">
        <v>9.142002781027E-4</v>
      </c>
      <c r="O99" s="41">
        <v>10536.0</v>
      </c>
      <c r="P99" s="41">
        <v>492.426329007001</v>
      </c>
      <c r="Q99" s="41">
        <v>0.0078180848067114</v>
      </c>
      <c r="R99" s="41">
        <v>0.0058075727419881</v>
      </c>
      <c r="S99" s="41">
        <v>0.0094327408795199</v>
      </c>
      <c r="T99" s="41">
        <v>0.0013662435539027</v>
      </c>
    </row>
    <row r="100">
      <c r="A100" s="41">
        <v>2857.0</v>
      </c>
      <c r="B100" s="41">
        <v>108.255080312999</v>
      </c>
      <c r="C100" s="41">
        <v>0.00171195470376597</v>
      </c>
      <c r="D100" s="41">
        <v>0.00127647538801939</v>
      </c>
      <c r="E100" s="41">
        <v>0.00205961303657797</v>
      </c>
      <c r="F100" s="41">
        <v>3.0031030638054E-4</v>
      </c>
      <c r="H100" s="41">
        <v>3342.0</v>
      </c>
      <c r="I100" s="41">
        <v>108.441207157</v>
      </c>
      <c r="J100" s="41">
        <v>0.00171354482426833</v>
      </c>
      <c r="K100" s="41">
        <v>0.00127871491932151</v>
      </c>
      <c r="L100" s="41">
        <v>0.00206023025929413</v>
      </c>
      <c r="M100" s="41">
        <v>3.00831160522203E-4</v>
      </c>
      <c r="O100" s="41">
        <v>4365.0</v>
      </c>
      <c r="P100" s="41">
        <v>194.782510740995</v>
      </c>
      <c r="Q100" s="41">
        <v>0.00309108868393904</v>
      </c>
      <c r="R100" s="41">
        <v>0.00229752802087714</v>
      </c>
      <c r="S100" s="41">
        <v>0.00372779714890214</v>
      </c>
      <c r="T100" s="41">
        <v>5.40520844072206E-4</v>
      </c>
    </row>
    <row r="101">
      <c r="A101" s="42">
        <v>708555.0</v>
      </c>
      <c r="B101" s="42">
        <v>29278.37</v>
      </c>
      <c r="C101" s="42">
        <v>0.463803476</v>
      </c>
      <c r="D101" s="42">
        <v>0.3453152604</v>
      </c>
      <c r="E101" s="42">
        <v>0.5586205002</v>
      </c>
      <c r="F101" s="42">
        <v>0.08123888673</v>
      </c>
      <c r="H101" s="42">
        <v>844109.0</v>
      </c>
      <c r="I101" s="42">
        <v>31251.42</v>
      </c>
      <c r="J101" s="42">
        <v>0.3831694155</v>
      </c>
      <c r="K101" s="42">
        <v>0.3685603034</v>
      </c>
      <c r="L101" s="42">
        <v>0.5950123155</v>
      </c>
      <c r="M101" s="42">
        <v>0.08670749966</v>
      </c>
      <c r="O101" s="42">
        <v>957762.0</v>
      </c>
      <c r="P101" s="42">
        <v>42153.72</v>
      </c>
      <c r="Q101" s="42">
        <v>0.6469672831</v>
      </c>
      <c r="R101" s="42">
        <v>0.4971574052</v>
      </c>
      <c r="S101" s="42">
        <v>0.8064253535</v>
      </c>
      <c r="T101" s="42">
        <v>0.1169611322</v>
      </c>
    </row>
  </sheetData>
  <mergeCells count="3">
    <mergeCell ref="A1:F1"/>
    <mergeCell ref="H1:M1"/>
    <mergeCell ref="O1:T1"/>
  </mergeCells>
  <drawing r:id="rId1"/>
</worksheet>
</file>